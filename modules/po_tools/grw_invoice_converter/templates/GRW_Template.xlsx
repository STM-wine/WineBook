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yaeger/Documents/stem-order-mvp/modules/po_tools/grw_invoice_converter/templates/"/>
    </mc:Choice>
  </mc:AlternateContent>
  <xr:revisionPtr revIDLastSave="0" documentId="8_{A22BB99E-6B84-2B47-B4E2-7D94BA21FC29}" xr6:coauthVersionLast="47" xr6:coauthVersionMax="47" xr10:uidLastSave="{00000000-0000-0000-0000-000000000000}"/>
  <bookViews>
    <workbookView xWindow="0" yWindow="660" windowWidth="29400" windowHeight="17240" xr2:uid="{178FDA28-D865-4059-A0DC-38FCCD67F6EC}"/>
  </bookViews>
  <sheets>
    <sheet name="Order Grid" sheetId="1" r:id="rId1"/>
    <sheet name="Confirmation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J6" i="1"/>
  <c r="K3" i="1"/>
  <c r="K4" i="1"/>
  <c r="K5" i="1"/>
  <c r="K2" i="1"/>
  <c r="I12" i="1"/>
  <c r="J9" i="1"/>
  <c r="K9" i="1" s="1"/>
  <c r="Q9" i="1" s="1"/>
  <c r="T9" i="1" s="1"/>
  <c r="J8" i="1"/>
  <c r="O8" i="1" s="1"/>
  <c r="J7" i="1"/>
  <c r="O7" i="1" s="1"/>
  <c r="O6" i="1"/>
  <c r="J5" i="1"/>
  <c r="O5" i="1" s="1"/>
  <c r="J4" i="1"/>
  <c r="O4" i="1" s="1"/>
  <c r="J2" i="1"/>
  <c r="O2" i="1" s="1"/>
  <c r="J3" i="1"/>
  <c r="K8" i="1" l="1"/>
  <c r="Q8" i="1" s="1"/>
  <c r="Q5" i="1"/>
  <c r="T5" i="1" s="1"/>
  <c r="Q4" i="1"/>
  <c r="S9" i="1"/>
  <c r="O9" i="1"/>
  <c r="R9" i="1" s="1"/>
  <c r="S8" i="1"/>
  <c r="R8" i="1"/>
  <c r="T8" i="1"/>
  <c r="K7" i="1"/>
  <c r="Q7" i="1" s="1"/>
  <c r="S7" i="1" s="1"/>
  <c r="Q6" i="1"/>
  <c r="R5" i="1"/>
  <c r="S5" i="1"/>
  <c r="T4" i="1"/>
  <c r="S4" i="1"/>
  <c r="R4" i="1"/>
  <c r="Q2" i="1"/>
  <c r="S2" i="1" s="1"/>
  <c r="O3" i="1"/>
  <c r="Q3" i="1"/>
  <c r="K12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A27" i="2"/>
  <c r="U4" i="1" l="1"/>
  <c r="V4" i="1" s="1"/>
  <c r="U9" i="1"/>
  <c r="V9" i="1" s="1"/>
  <c r="Q12" i="1"/>
  <c r="O12" i="1"/>
  <c r="U8" i="1"/>
  <c r="V8" i="1" s="1"/>
  <c r="T7" i="1"/>
  <c r="R7" i="1"/>
  <c r="R6" i="1"/>
  <c r="T6" i="1"/>
  <c r="S6" i="1"/>
  <c r="U5" i="1"/>
  <c r="V5" i="1" s="1"/>
  <c r="T3" i="1"/>
  <c r="R3" i="1"/>
  <c r="S3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S12" i="1" l="1"/>
  <c r="U7" i="1"/>
  <c r="V7" i="1" s="1"/>
  <c r="U6" i="1"/>
  <c r="V6" i="1" s="1"/>
  <c r="U3" i="1"/>
  <c r="S138" i="1"/>
  <c r="S130" i="1"/>
  <c r="S122" i="1"/>
  <c r="S114" i="1"/>
  <c r="S106" i="1"/>
  <c r="S139" i="1"/>
  <c r="S131" i="1"/>
  <c r="S123" i="1"/>
  <c r="S115" i="1"/>
  <c r="S107" i="1"/>
  <c r="S141" i="1"/>
  <c r="S133" i="1"/>
  <c r="S125" i="1"/>
  <c r="S117" i="1"/>
  <c r="S109" i="1"/>
  <c r="S101" i="1"/>
  <c r="S93" i="1"/>
  <c r="S85" i="1"/>
  <c r="S77" i="1"/>
  <c r="S69" i="1"/>
  <c r="S61" i="1"/>
  <c r="S53" i="1"/>
  <c r="S45" i="1"/>
  <c r="S37" i="1"/>
  <c r="S29" i="1"/>
  <c r="S21" i="1"/>
  <c r="S13" i="1"/>
  <c r="S140" i="1"/>
  <c r="S132" i="1"/>
  <c r="S124" i="1"/>
  <c r="S116" i="1"/>
  <c r="S108" i="1"/>
  <c r="S100" i="1"/>
  <c r="S92" i="1"/>
  <c r="S84" i="1"/>
  <c r="S76" i="1"/>
  <c r="S68" i="1"/>
  <c r="S60" i="1"/>
  <c r="S52" i="1"/>
  <c r="S44" i="1"/>
  <c r="S36" i="1"/>
  <c r="S28" i="1"/>
  <c r="S20" i="1"/>
  <c r="S75" i="1"/>
  <c r="S43" i="1"/>
  <c r="S98" i="1"/>
  <c r="S74" i="1"/>
  <c r="S34" i="1"/>
  <c r="S129" i="1"/>
  <c r="S97" i="1"/>
  <c r="S89" i="1"/>
  <c r="S57" i="1"/>
  <c r="S49" i="1"/>
  <c r="S41" i="1"/>
  <c r="S33" i="1"/>
  <c r="S25" i="1"/>
  <c r="S17" i="1"/>
  <c r="S99" i="1"/>
  <c r="S67" i="1"/>
  <c r="S35" i="1"/>
  <c r="S66" i="1"/>
  <c r="S26" i="1"/>
  <c r="S113" i="1"/>
  <c r="S81" i="1"/>
  <c r="S128" i="1"/>
  <c r="S120" i="1"/>
  <c r="S112" i="1"/>
  <c r="S104" i="1"/>
  <c r="S96" i="1"/>
  <c r="S88" i="1"/>
  <c r="S80" i="1"/>
  <c r="S72" i="1"/>
  <c r="S64" i="1"/>
  <c r="S56" i="1"/>
  <c r="S48" i="1"/>
  <c r="S40" i="1"/>
  <c r="S32" i="1"/>
  <c r="S24" i="1"/>
  <c r="S16" i="1"/>
  <c r="S91" i="1"/>
  <c r="S59" i="1"/>
  <c r="S27" i="1"/>
  <c r="S82" i="1"/>
  <c r="S42" i="1"/>
  <c r="S137" i="1"/>
  <c r="S105" i="1"/>
  <c r="S65" i="1"/>
  <c r="S136" i="1"/>
  <c r="S143" i="1"/>
  <c r="S135" i="1"/>
  <c r="S127" i="1"/>
  <c r="S119" i="1"/>
  <c r="S111" i="1"/>
  <c r="S103" i="1"/>
  <c r="S95" i="1"/>
  <c r="S87" i="1"/>
  <c r="S79" i="1"/>
  <c r="S71" i="1"/>
  <c r="S63" i="1"/>
  <c r="S55" i="1"/>
  <c r="S47" i="1"/>
  <c r="S39" i="1"/>
  <c r="S31" i="1"/>
  <c r="S23" i="1"/>
  <c r="S15" i="1"/>
  <c r="S83" i="1"/>
  <c r="S51" i="1"/>
  <c r="S19" i="1"/>
  <c r="S90" i="1"/>
  <c r="S58" i="1"/>
  <c r="S50" i="1"/>
  <c r="S18" i="1"/>
  <c r="S121" i="1"/>
  <c r="S73" i="1"/>
  <c r="S142" i="1"/>
  <c r="S134" i="1"/>
  <c r="S126" i="1"/>
  <c r="S118" i="1"/>
  <c r="S110" i="1"/>
  <c r="S102" i="1"/>
  <c r="S94" i="1"/>
  <c r="S86" i="1"/>
  <c r="S78" i="1"/>
  <c r="S70" i="1"/>
  <c r="S62" i="1"/>
  <c r="S54" i="1"/>
  <c r="S46" i="1"/>
  <c r="S38" i="1"/>
  <c r="S30" i="1"/>
  <c r="S22" i="1"/>
  <c r="S14" i="1"/>
  <c r="V3" i="1" l="1"/>
  <c r="R2" i="1"/>
  <c r="R12" i="1" s="1"/>
  <c r="T2" i="1"/>
  <c r="T12" i="1" s="1"/>
  <c r="U2" i="1" l="1"/>
  <c r="U12" i="1" s="1"/>
  <c r="V2" i="1" l="1"/>
  <c r="V12" i="1"/>
</calcChain>
</file>

<file path=xl/sharedStrings.xml><?xml version="1.0" encoding="utf-8"?>
<sst xmlns="http://schemas.openxmlformats.org/spreadsheetml/2006/main" count="279" uniqueCount="64">
  <si>
    <t>Quantity</t>
  </si>
  <si>
    <t>Item Description</t>
  </si>
  <si>
    <t>Frontline</t>
  </si>
  <si>
    <t>Supplier</t>
  </si>
  <si>
    <t>GRW</t>
  </si>
  <si>
    <t>FOB Case</t>
  </si>
  <si>
    <t>PK</t>
  </si>
  <si>
    <t>FOB Btl</t>
  </si>
  <si>
    <t>Account</t>
  </si>
  <si>
    <t>Rep 2%</t>
  </si>
  <si>
    <t>Mark 2%</t>
  </si>
  <si>
    <t>STM Net $</t>
  </si>
  <si>
    <t>GRW Order #</t>
  </si>
  <si>
    <t>Item Number</t>
  </si>
  <si>
    <t>STM Gross $</t>
  </si>
  <si>
    <t>Lafite 2009 1x750ml</t>
  </si>
  <si>
    <t>Haut Brion 2009 1x 750ml</t>
  </si>
  <si>
    <t>Cos d'Estournel 2009 1x375ml</t>
  </si>
  <si>
    <t xml:space="preserve">Mouton 1999 1x375ml </t>
  </si>
  <si>
    <t>Cheval Blanc 1998 1x750ml</t>
  </si>
  <si>
    <t>Haut Brion 2010 1x750ml</t>
  </si>
  <si>
    <t xml:space="preserve">Lafite 1982 1x750ml </t>
  </si>
  <si>
    <t xml:space="preserve">Petrus 1989 1x750ml </t>
  </si>
  <si>
    <t>DRC Romanee St Vivant 2014 1x750ml</t>
  </si>
  <si>
    <t>DRC La Tache 2018 1x750ml</t>
  </si>
  <si>
    <t>Armand Rousseau Clos de Beze 1x750ml</t>
  </si>
  <si>
    <t>Dujac Bonnes Mares 2013 1x750ml</t>
  </si>
  <si>
    <t xml:space="preserve">Dujac Clos de la Roche 2012 1x750ml </t>
  </si>
  <si>
    <t xml:space="preserve">Dujac Echezeaux 2009 1x750ml </t>
  </si>
  <si>
    <t>Leroy NSG Aux Allots 2005 1x750ml</t>
  </si>
  <si>
    <t>Ponsot Clos de la Roche 2005 1x750ml</t>
  </si>
  <si>
    <t>Coche Dury Puligny Montrachet Enseigneres 2015 1x750ml</t>
  </si>
  <si>
    <t>Dom Perignon P2 1999 1x750ml</t>
  </si>
  <si>
    <t>Ausone 2009 1x750ml</t>
  </si>
  <si>
    <t>Dom Perignon P2 2002 1x750ml</t>
  </si>
  <si>
    <t>Giacomo Conterno Barolo Riserva 2008 1x750ml</t>
  </si>
  <si>
    <t xml:space="preserve">Giuseppe Rinaldi Barolo Brunate 2015 1x750ml </t>
  </si>
  <si>
    <t xml:space="preserve">JL Chave Hermitage 2004 1x750ml </t>
  </si>
  <si>
    <t>Ext Cost</t>
  </si>
  <si>
    <t>Ext Price</t>
  </si>
  <si>
    <t>SNGC</t>
  </si>
  <si>
    <t>Total</t>
  </si>
  <si>
    <t>Stem Net GP%</t>
  </si>
  <si>
    <t>STM Markup %</t>
  </si>
  <si>
    <t/>
  </si>
  <si>
    <t>Armand Rousseau Charmes Chambertin 2006 1x375ml</t>
  </si>
  <si>
    <t>Armand Rousseau Chambertin 2013 1x750ml</t>
  </si>
  <si>
    <t>COGS Acct</t>
  </si>
  <si>
    <t>COGS GRW</t>
  </si>
  <si>
    <t>Inventory Asset</t>
  </si>
  <si>
    <t>Inventory Asset - GRW</t>
  </si>
  <si>
    <t>Income Acct</t>
  </si>
  <si>
    <t>Brokerage GRW</t>
  </si>
  <si>
    <t>Café Monarch</t>
  </si>
  <si>
    <t>S58672</t>
  </si>
  <si>
    <t>Domaine Dujac Echezeaux 2019 1/750ml</t>
  </si>
  <si>
    <t>Chateau Troplong Mondot 2005 1/750ml</t>
  </si>
  <si>
    <t xml:space="preserve">La Mission Haut Brion 2009 1/750ml </t>
  </si>
  <si>
    <t xml:space="preserve">Chateau Haut Brion 1998 1/750ml </t>
  </si>
  <si>
    <t xml:space="preserve">Chateau Mouton Rothschild 1982 1/750ml </t>
  </si>
  <si>
    <t>Domaine Ramonet Batard Montarchet 1/750ml</t>
  </si>
  <si>
    <t>Giacomo Conterno Barolo Riserva Monfortino 2004 1/750ml</t>
  </si>
  <si>
    <t>MacDonald Vineyards To-Kalon 3/750ml</t>
  </si>
  <si>
    <t>LEAVE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</si>
</sst>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#,##0.00_);[Red]\(\$#,##0.00\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Quicksand"/>
    </font>
    <font>
      <b/>
      <sz val="11"/>
      <color theme="1"/>
      <name val="Quicksand"/>
    </font>
    <font>
      <sz val="11"/>
      <name val="Arial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0" fontId="2" fillId="0" borderId="0" xfId="2" applyNumberFormat="1" applyFont="1"/>
    <xf numFmtId="44" fontId="2" fillId="0" borderId="0" xfId="2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left"/>
    </xf>
    <xf numFmtId="0" fontId="2" fillId="2" borderId="0" xfId="0" applyFont="1" applyFill="1"/>
    <xf numFmtId="44" fontId="5" fillId="0" borderId="0" xfId="1" applyFont="1" applyAlignment="1">
      <alignment horizontal="center" wrapText="1"/>
    </xf>
    <xf numFmtId="9" fontId="7" fillId="0" borderId="0" xfId="2" applyFont="1" applyAlignment="1">
      <alignment horizontal="center"/>
    </xf>
    <xf numFmtId="10" fontId="2" fillId="0" borderId="0" xfId="2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44" fontId="2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44" fontId="5" fillId="0" borderId="1" xfId="1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44" fontId="6" fillId="0" borderId="1" xfId="1" applyFont="1" applyBorder="1"/>
    <xf numFmtId="0" fontId="6" fillId="0" borderId="1" xfId="0" applyFont="1" applyBorder="1" applyAlignment="1">
      <alignment horizontal="center"/>
    </xf>
    <xf numFmtId="0" fontId="8" fillId="2" borderId="1" xfId="0" applyFont="1" applyFill="1" applyBorder="1"/>
    <xf numFmtId="0" fontId="6" fillId="2" borderId="1" xfId="0" applyFont="1" applyFill="1" applyBorder="1"/>
    <xf numFmtId="44" fontId="6" fillId="2" borderId="1" xfId="1" applyFont="1" applyFill="1" applyBorder="1"/>
    <xf numFmtId="44" fontId="6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44" fontId="5" fillId="0" borderId="0" xfId="1" applyFont="1" applyAlignment="1">
      <alignment horizontal="center"/>
    </xf>
    <xf numFmtId="10" fontId="5" fillId="0" borderId="0" xfId="2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44" fontId="6" fillId="0" borderId="0" xfId="1" applyFont="1" applyAlignment="1">
      <alignment horizontal="center"/>
    </xf>
    <xf numFmtId="44" fontId="6" fillId="0" borderId="0" xfId="2" applyNumberFormat="1" applyFont="1" applyAlignment="1">
      <alignment horizontal="center"/>
    </xf>
    <xf numFmtId="44" fontId="6" fillId="0" borderId="0" xfId="0" applyNumberFormat="1" applyFont="1" applyAlignment="1">
      <alignment horizontal="center"/>
    </xf>
    <xf numFmtId="10" fontId="6" fillId="0" borderId="0" xfId="2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44" fontId="5" fillId="2" borderId="0" xfId="1" applyFont="1" applyFill="1" applyAlignment="1">
      <alignment horizontal="center"/>
    </xf>
    <xf numFmtId="44" fontId="6" fillId="2" borderId="0" xfId="1" applyFont="1" applyFill="1" applyAlignment="1">
      <alignment horizontal="center"/>
    </xf>
    <xf numFmtId="10" fontId="6" fillId="2" borderId="0" xfId="2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4" fontId="2" fillId="0" borderId="0" xfId="1" applyFont="1" applyAlignment="1">
      <alignment horizontal="center"/>
    </xf>
    <xf numFmtId="164" fontId="4" fillId="0" borderId="0" xfId="0" applyNumberFormat="1" applyFont="1" applyAlignment="1">
      <alignment horizontal="center"/>
    </xf>
    <xf numFmtId="44" fontId="2" fillId="0" borderId="0" xfId="2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44" fontId="5" fillId="3" borderId="0" xfId="1" applyFont="1" applyFill="1" applyAlignment="1">
      <alignment horizontal="center"/>
    </xf>
    <xf numFmtId="164" fontId="7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44" fontId="2" fillId="3" borderId="0" xfId="1" applyFont="1" applyFill="1" applyAlignment="1">
      <alignment horizontal="center"/>
    </xf>
    <xf numFmtId="0" fontId="6" fillId="0" borderId="0" xfId="0" applyFont="1"/>
    <xf numFmtId="44" fontId="8" fillId="2" borderId="0" xfId="1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52D7-A6C2-4E8F-B4D4-EFFFD64F95DD}">
  <dimension ref="A1:V151"/>
  <sheetViews>
    <sheetView tabSelected="1" zoomScale="150" workbookViewId="0">
      <selection activeCell="A14" sqref="A14"/>
    </sheetView>
  </sheetViews>
  <sheetFormatPr baseColWidth="10" defaultColWidth="8.83203125" defaultRowHeight="15"/>
  <cols>
    <col min="1" max="1" width="12.5" style="3" bestFit="1" customWidth="1"/>
    <col min="2" max="2" width="58.83203125" style="4" bestFit="1" customWidth="1"/>
    <col min="3" max="3" width="8.5" style="3" bestFit="1" customWidth="1"/>
    <col min="4" max="4" width="12.5" style="3" customWidth="1"/>
    <col min="5" max="5" width="18.6640625" style="3" bestFit="1" customWidth="1"/>
    <col min="6" max="6" width="18.6640625" style="3" customWidth="1"/>
    <col min="7" max="7" width="12" style="3" customWidth="1"/>
    <col min="8" max="8" width="3.6640625" style="3" bestFit="1" customWidth="1"/>
    <col min="9" max="9" width="8.83203125" style="3" bestFit="1" customWidth="1"/>
    <col min="10" max="10" width="10.6640625" style="44" bestFit="1" customWidth="1"/>
    <col min="11" max="11" width="13.1640625" style="3" bestFit="1" customWidth="1"/>
    <col min="12" max="12" width="12.1640625" style="3" customWidth="1"/>
    <col min="13" max="13" width="2.6640625" style="52" customWidth="1"/>
    <col min="14" max="14" width="11.1640625" style="44" bestFit="1" customWidth="1"/>
    <col min="15" max="15" width="12.1640625" style="14" bestFit="1" customWidth="1"/>
    <col min="16" max="16" width="6.83203125" style="14" customWidth="1"/>
    <col min="17" max="17" width="12.33203125" style="14" bestFit="1" customWidth="1"/>
    <col min="18" max="18" width="12.83203125" style="3" customWidth="1"/>
    <col min="19" max="19" width="10" style="3" bestFit="1" customWidth="1"/>
    <col min="20" max="20" width="10.1640625" style="3" bestFit="1" customWidth="1"/>
    <col min="21" max="21" width="12.33203125" style="3" customWidth="1"/>
    <col min="22" max="22" width="18.33203125" style="3" customWidth="1"/>
    <col min="23" max="16384" width="8.83203125" style="3"/>
  </cols>
  <sheetData>
    <row r="1" spans="1:22" s="32" customFormat="1" ht="48">
      <c r="A1" s="8" t="s">
        <v>13</v>
      </c>
      <c r="B1" s="7" t="s">
        <v>1</v>
      </c>
      <c r="C1" s="8" t="s">
        <v>3</v>
      </c>
      <c r="D1" s="8" t="s">
        <v>47</v>
      </c>
      <c r="E1" s="8" t="s">
        <v>49</v>
      </c>
      <c r="F1" s="8" t="s">
        <v>51</v>
      </c>
      <c r="G1" s="8" t="s">
        <v>12</v>
      </c>
      <c r="H1" s="8" t="s">
        <v>6</v>
      </c>
      <c r="I1" s="8" t="s">
        <v>0</v>
      </c>
      <c r="J1" s="30" t="s">
        <v>7</v>
      </c>
      <c r="K1" s="30" t="s">
        <v>2</v>
      </c>
      <c r="L1" s="8" t="s">
        <v>8</v>
      </c>
      <c r="M1" s="48"/>
      <c r="N1" s="30" t="s">
        <v>5</v>
      </c>
      <c r="O1" s="30" t="s">
        <v>38</v>
      </c>
      <c r="P1" s="12" t="s">
        <v>43</v>
      </c>
      <c r="Q1" s="30" t="s">
        <v>39</v>
      </c>
      <c r="R1" s="31" t="s">
        <v>14</v>
      </c>
      <c r="S1" s="8" t="s">
        <v>9</v>
      </c>
      <c r="T1" s="8" t="s">
        <v>10</v>
      </c>
      <c r="U1" s="8" t="s">
        <v>11</v>
      </c>
      <c r="V1" s="8" t="s">
        <v>42</v>
      </c>
    </row>
    <row r="2" spans="1:22">
      <c r="A2" s="9" t="s">
        <v>63</v>
      </c>
      <c r="B2" s="53" t="s">
        <v>58</v>
      </c>
      <c r="C2" s="47" t="s">
        <v>4</v>
      </c>
      <c r="D2" s="9" t="s">
        <v>48</v>
      </c>
      <c r="E2" s="9" t="s">
        <v>50</v>
      </c>
      <c r="F2" s="9" t="s">
        <v>52</v>
      </c>
      <c r="G2" s="47" t="s">
        <v>54</v>
      </c>
      <c r="H2" s="53">
        <v>1</v>
      </c>
      <c r="I2" s="9">
        <v>1</v>
      </c>
      <c r="J2" s="33">
        <f t="shared" ref="J2:J9" si="0">N2/H2</f>
        <v>695</v>
      </c>
      <c r="K2" s="34">
        <f>CEILING((J2*1.15),1)</f>
        <v>800</v>
      </c>
      <c r="L2" s="9" t="s">
        <v>53</v>
      </c>
      <c r="M2" s="49"/>
      <c r="N2" s="33">
        <v>695</v>
      </c>
      <c r="O2" s="33">
        <f t="shared" ref="O2:O9" si="1">J2*I2</f>
        <v>695</v>
      </c>
      <c r="P2" s="13">
        <v>0.1</v>
      </c>
      <c r="Q2" s="34">
        <f t="shared" ref="Q2:Q9" si="2">K2*I2</f>
        <v>800</v>
      </c>
      <c r="R2" s="35">
        <f t="shared" ref="R2" si="3">IFERROR((Q2-O2),"")</f>
        <v>105</v>
      </c>
      <c r="S2" s="36">
        <f>IFERROR(((Q2)*0.02),"")</f>
        <v>16</v>
      </c>
      <c r="T2" s="34">
        <f t="shared" ref="T2" si="4">IFERROR(((Q2)*0.02),"")</f>
        <v>16</v>
      </c>
      <c r="U2" s="36">
        <f t="shared" ref="U2:U8" si="5">IFERROR((R2-S2-T2),"")</f>
        <v>73</v>
      </c>
      <c r="V2" s="37">
        <f t="shared" ref="V2:V12" si="6">U2/Q2</f>
        <v>9.1249999999999998E-2</v>
      </c>
    </row>
    <row r="3" spans="1:22">
      <c r="A3" s="9" t="s">
        <v>63</v>
      </c>
      <c r="B3" s="53" t="s">
        <v>57</v>
      </c>
      <c r="C3" s="47" t="s">
        <v>4</v>
      </c>
      <c r="D3" s="9" t="s">
        <v>48</v>
      </c>
      <c r="E3" s="9" t="s">
        <v>50</v>
      </c>
      <c r="F3" s="9" t="s">
        <v>52</v>
      </c>
      <c r="G3" s="47" t="s">
        <v>54</v>
      </c>
      <c r="H3" s="53">
        <v>1</v>
      </c>
      <c r="I3" s="9">
        <v>1</v>
      </c>
      <c r="J3" s="33">
        <f t="shared" si="0"/>
        <v>550</v>
      </c>
      <c r="K3" s="34">
        <f t="shared" ref="K3:K5" si="7">CEILING((J3*1.15),1)</f>
        <v>633</v>
      </c>
      <c r="L3" s="9" t="s">
        <v>53</v>
      </c>
      <c r="M3" s="49"/>
      <c r="N3" s="33">
        <v>550</v>
      </c>
      <c r="O3" s="33">
        <f t="shared" si="1"/>
        <v>550</v>
      </c>
      <c r="P3" s="13">
        <v>0.1</v>
      </c>
      <c r="Q3" s="34">
        <f t="shared" si="2"/>
        <v>633</v>
      </c>
      <c r="R3" s="35">
        <f t="shared" ref="R3" si="8">IFERROR((Q3-O3),"")</f>
        <v>83</v>
      </c>
      <c r="S3" s="36">
        <f t="shared" ref="S3" si="9">IFERROR(((Q3)*0.02),"")</f>
        <v>12.66</v>
      </c>
      <c r="T3" s="34">
        <f t="shared" ref="T3" si="10">IFERROR(((Q3)*0.02),"")</f>
        <v>12.66</v>
      </c>
      <c r="U3" s="36">
        <f t="shared" si="5"/>
        <v>57.680000000000007</v>
      </c>
      <c r="V3" s="37">
        <f t="shared" ref="V3" si="11">U3/Q3</f>
        <v>9.1121642969984207E-2</v>
      </c>
    </row>
    <row r="4" spans="1:22">
      <c r="A4" s="9" t="s">
        <v>63</v>
      </c>
      <c r="B4" s="53" t="s">
        <v>59</v>
      </c>
      <c r="C4" s="47" t="s">
        <v>4</v>
      </c>
      <c r="D4" s="9" t="s">
        <v>48</v>
      </c>
      <c r="E4" s="9" t="s">
        <v>50</v>
      </c>
      <c r="F4" s="9" t="s">
        <v>52</v>
      </c>
      <c r="G4" s="47" t="s">
        <v>54</v>
      </c>
      <c r="H4" s="53">
        <v>1</v>
      </c>
      <c r="I4" s="9">
        <v>1</v>
      </c>
      <c r="J4" s="33">
        <f t="shared" si="0"/>
        <v>1395</v>
      </c>
      <c r="K4" s="34">
        <f t="shared" si="7"/>
        <v>1605</v>
      </c>
      <c r="L4" s="9" t="s">
        <v>53</v>
      </c>
      <c r="M4" s="49"/>
      <c r="N4" s="33">
        <v>1395</v>
      </c>
      <c r="O4" s="33">
        <f t="shared" si="1"/>
        <v>1395</v>
      </c>
      <c r="P4" s="13">
        <v>0.1</v>
      </c>
      <c r="Q4" s="34">
        <f t="shared" si="2"/>
        <v>1605</v>
      </c>
      <c r="R4" s="35">
        <f t="shared" ref="R4:R8" si="12">IFERROR((Q4-O4),"")</f>
        <v>210</v>
      </c>
      <c r="S4" s="36">
        <f t="shared" ref="S4:S8" si="13">IFERROR(((Q4)*0.02),"")</f>
        <v>32.1</v>
      </c>
      <c r="T4" s="34">
        <f t="shared" ref="T4:T8" si="14">IFERROR(((Q4)*0.02),"")</f>
        <v>32.1</v>
      </c>
      <c r="U4" s="36">
        <f t="shared" si="5"/>
        <v>145.80000000000001</v>
      </c>
      <c r="V4" s="37">
        <f t="shared" ref="V4:V8" si="15">U4/Q4</f>
        <v>9.084112149532711E-2</v>
      </c>
    </row>
    <row r="5" spans="1:22">
      <c r="A5" s="9" t="s">
        <v>63</v>
      </c>
      <c r="B5" s="53" t="s">
        <v>56</v>
      </c>
      <c r="C5" s="47" t="s">
        <v>4</v>
      </c>
      <c r="D5" s="9" t="s">
        <v>48</v>
      </c>
      <c r="E5" s="9" t="s">
        <v>50</v>
      </c>
      <c r="F5" s="9" t="s">
        <v>52</v>
      </c>
      <c r="G5" s="47" t="s">
        <v>54</v>
      </c>
      <c r="H5" s="53">
        <v>1</v>
      </c>
      <c r="I5" s="9">
        <v>1</v>
      </c>
      <c r="J5" s="33">
        <f t="shared" si="0"/>
        <v>285</v>
      </c>
      <c r="K5" s="34">
        <f t="shared" si="7"/>
        <v>328</v>
      </c>
      <c r="L5" s="9" t="s">
        <v>53</v>
      </c>
      <c r="M5" s="49"/>
      <c r="N5" s="33">
        <v>285</v>
      </c>
      <c r="O5" s="33">
        <f t="shared" si="1"/>
        <v>285</v>
      </c>
      <c r="P5" s="13">
        <v>0.1</v>
      </c>
      <c r="Q5" s="34">
        <f t="shared" si="2"/>
        <v>328</v>
      </c>
      <c r="R5" s="35">
        <f t="shared" si="12"/>
        <v>43</v>
      </c>
      <c r="S5" s="36">
        <f t="shared" si="13"/>
        <v>6.5600000000000005</v>
      </c>
      <c r="T5" s="34">
        <f t="shared" si="14"/>
        <v>6.5600000000000005</v>
      </c>
      <c r="U5" s="36">
        <f t="shared" si="5"/>
        <v>29.879999999999995</v>
      </c>
      <c r="V5" s="37">
        <f t="shared" si="15"/>
        <v>9.109756097560974E-2</v>
      </c>
    </row>
    <row r="6" spans="1:22">
      <c r="A6" s="9" t="s">
        <v>63</v>
      </c>
      <c r="B6" s="53" t="s">
        <v>55</v>
      </c>
      <c r="C6" s="47" t="s">
        <v>4</v>
      </c>
      <c r="D6" s="9" t="s">
        <v>48</v>
      </c>
      <c r="E6" s="9" t="s">
        <v>50</v>
      </c>
      <c r="F6" s="9" t="s">
        <v>52</v>
      </c>
      <c r="G6" s="47" t="s">
        <v>54</v>
      </c>
      <c r="H6" s="53">
        <v>1</v>
      </c>
      <c r="I6" s="9">
        <v>1</v>
      </c>
      <c r="J6" s="33">
        <f>N6/H6</f>
        <v>1044.75</v>
      </c>
      <c r="K6" s="34">
        <f>CEILING((J6*1.15/1.05),1)</f>
        <v>1145</v>
      </c>
      <c r="L6" s="9" t="s">
        <v>53</v>
      </c>
      <c r="M6" s="49"/>
      <c r="N6" s="33">
        <v>1044.75</v>
      </c>
      <c r="O6" s="33">
        <f t="shared" si="1"/>
        <v>1044.75</v>
      </c>
      <c r="P6" s="13">
        <v>0.15</v>
      </c>
      <c r="Q6" s="34">
        <f t="shared" si="2"/>
        <v>1145</v>
      </c>
      <c r="R6" s="35">
        <f t="shared" si="12"/>
        <v>100.25</v>
      </c>
      <c r="S6" s="36">
        <f t="shared" si="13"/>
        <v>22.900000000000002</v>
      </c>
      <c r="T6" s="34">
        <f t="shared" si="14"/>
        <v>22.900000000000002</v>
      </c>
      <c r="U6" s="36">
        <f t="shared" si="5"/>
        <v>54.449999999999989</v>
      </c>
      <c r="V6" s="37">
        <f t="shared" si="15"/>
        <v>4.7554585152838419E-2</v>
      </c>
    </row>
    <row r="7" spans="1:22">
      <c r="A7" s="9" t="s">
        <v>63</v>
      </c>
      <c r="B7" s="53" t="s">
        <v>60</v>
      </c>
      <c r="C7" s="47" t="s">
        <v>4</v>
      </c>
      <c r="D7" s="9" t="s">
        <v>48</v>
      </c>
      <c r="E7" s="9" t="s">
        <v>50</v>
      </c>
      <c r="F7" s="9" t="s">
        <v>52</v>
      </c>
      <c r="G7" s="47" t="s">
        <v>54</v>
      </c>
      <c r="H7" s="53">
        <v>1</v>
      </c>
      <c r="I7" s="9">
        <v>1</v>
      </c>
      <c r="J7" s="33">
        <f t="shared" si="0"/>
        <v>1254.75</v>
      </c>
      <c r="K7" s="34">
        <f t="shared" ref="K7:K9" si="16">CEILING((J7*1.15/1.05),1)</f>
        <v>1375</v>
      </c>
      <c r="L7" s="9" t="s">
        <v>53</v>
      </c>
      <c r="M7" s="49"/>
      <c r="N7" s="33">
        <v>1254.75</v>
      </c>
      <c r="O7" s="33">
        <f t="shared" si="1"/>
        <v>1254.75</v>
      </c>
      <c r="P7" s="13">
        <v>0.15</v>
      </c>
      <c r="Q7" s="34">
        <f t="shared" si="2"/>
        <v>1375</v>
      </c>
      <c r="R7" s="35">
        <f t="shared" si="12"/>
        <v>120.25</v>
      </c>
      <c r="S7" s="36">
        <f>IFERROR(((Q7)*0.02),"")</f>
        <v>27.5</v>
      </c>
      <c r="T7" s="34">
        <f t="shared" si="14"/>
        <v>27.5</v>
      </c>
      <c r="U7" s="36">
        <f t="shared" si="5"/>
        <v>65.25</v>
      </c>
      <c r="V7" s="37">
        <f t="shared" si="15"/>
        <v>4.7454545454545458E-2</v>
      </c>
    </row>
    <row r="8" spans="1:22">
      <c r="A8" s="9" t="s">
        <v>63</v>
      </c>
      <c r="B8" s="53" t="s">
        <v>61</v>
      </c>
      <c r="C8" s="47" t="s">
        <v>4</v>
      </c>
      <c r="D8" s="9" t="s">
        <v>48</v>
      </c>
      <c r="E8" s="9" t="s">
        <v>50</v>
      </c>
      <c r="F8" s="9" t="s">
        <v>52</v>
      </c>
      <c r="G8" s="47" t="s">
        <v>54</v>
      </c>
      <c r="H8" s="53">
        <v>1</v>
      </c>
      <c r="I8" s="9">
        <v>1</v>
      </c>
      <c r="J8" s="33">
        <f t="shared" si="0"/>
        <v>1312.5</v>
      </c>
      <c r="K8" s="34">
        <f t="shared" si="16"/>
        <v>1438</v>
      </c>
      <c r="L8" s="9" t="s">
        <v>53</v>
      </c>
      <c r="M8" s="49"/>
      <c r="N8" s="33">
        <v>1312.5</v>
      </c>
      <c r="O8" s="33">
        <f t="shared" si="1"/>
        <v>1312.5</v>
      </c>
      <c r="P8" s="13">
        <v>0.15</v>
      </c>
      <c r="Q8" s="34">
        <f t="shared" si="2"/>
        <v>1438</v>
      </c>
      <c r="R8" s="35">
        <f t="shared" si="12"/>
        <v>125.5</v>
      </c>
      <c r="S8" s="36">
        <f t="shared" si="13"/>
        <v>28.76</v>
      </c>
      <c r="T8" s="34">
        <f t="shared" si="14"/>
        <v>28.76</v>
      </c>
      <c r="U8" s="36">
        <f t="shared" si="5"/>
        <v>67.97999999999999</v>
      </c>
      <c r="V8" s="37">
        <f t="shared" si="15"/>
        <v>4.7273991655076487E-2</v>
      </c>
    </row>
    <row r="9" spans="1:22">
      <c r="A9" s="9" t="s">
        <v>63</v>
      </c>
      <c r="B9" s="53" t="s">
        <v>62</v>
      </c>
      <c r="C9" s="47" t="s">
        <v>4</v>
      </c>
      <c r="D9" s="9" t="s">
        <v>48</v>
      </c>
      <c r="E9" s="9" t="s">
        <v>50</v>
      </c>
      <c r="F9" s="9" t="s">
        <v>52</v>
      </c>
      <c r="G9" s="47" t="s">
        <v>54</v>
      </c>
      <c r="H9" s="53">
        <v>3</v>
      </c>
      <c r="I9" s="9">
        <v>3</v>
      </c>
      <c r="J9" s="33">
        <f t="shared" si="0"/>
        <v>733.25</v>
      </c>
      <c r="K9" s="34">
        <f t="shared" si="16"/>
        <v>804</v>
      </c>
      <c r="L9" s="9" t="s">
        <v>53</v>
      </c>
      <c r="M9" s="49"/>
      <c r="N9" s="33">
        <v>2199.75</v>
      </c>
      <c r="O9" s="33">
        <f t="shared" si="1"/>
        <v>2199.75</v>
      </c>
      <c r="P9" s="13">
        <v>0.15</v>
      </c>
      <c r="Q9" s="34">
        <f t="shared" si="2"/>
        <v>2412</v>
      </c>
      <c r="R9" s="35">
        <f t="shared" ref="R9" si="17">IFERROR((Q9-O9),"")</f>
        <v>212.25</v>
      </c>
      <c r="S9" s="36">
        <f t="shared" ref="S9" si="18">IFERROR(((Q9)*0.02),"")</f>
        <v>48.24</v>
      </c>
      <c r="T9" s="34">
        <f t="shared" ref="T9" si="19">IFERROR(((Q9)*0.02),"")</f>
        <v>48.24</v>
      </c>
      <c r="U9" s="36">
        <f t="shared" ref="U9" si="20">IFERROR((R9-S9-T9),"")</f>
        <v>115.76999999999998</v>
      </c>
      <c r="V9" s="37">
        <f t="shared" ref="V9" si="21">U9/Q9</f>
        <v>4.7997512437810939E-2</v>
      </c>
    </row>
    <row r="10" spans="1:22">
      <c r="A10" s="9"/>
      <c r="B10" s="53"/>
      <c r="C10" s="47"/>
      <c r="D10" s="9"/>
      <c r="E10" s="9"/>
      <c r="F10" s="9"/>
      <c r="G10" s="47"/>
      <c r="H10" s="53"/>
      <c r="I10" s="9"/>
      <c r="J10" s="33"/>
      <c r="K10" s="34"/>
      <c r="L10" s="9"/>
      <c r="M10" s="49"/>
      <c r="N10" s="33"/>
      <c r="O10" s="33"/>
      <c r="P10" s="13"/>
      <c r="Q10" s="34"/>
      <c r="R10" s="35"/>
      <c r="S10" s="36"/>
      <c r="T10" s="34"/>
      <c r="U10" s="36"/>
      <c r="V10" s="37"/>
    </row>
    <row r="11" spans="1:22">
      <c r="A11" s="9"/>
      <c r="B11" s="53"/>
      <c r="C11" s="47"/>
      <c r="D11" s="9"/>
      <c r="E11" s="9"/>
      <c r="F11" s="9"/>
      <c r="G11" s="47"/>
      <c r="H11" s="53"/>
      <c r="I11" s="9"/>
      <c r="J11" s="33"/>
      <c r="K11" s="34"/>
      <c r="L11" s="9"/>
      <c r="M11" s="49"/>
      <c r="N11" s="33"/>
      <c r="O11" s="33"/>
      <c r="P11" s="13"/>
      <c r="Q11" s="34"/>
      <c r="R11" s="35"/>
      <c r="S11" s="36"/>
      <c r="T11" s="34"/>
      <c r="U11" s="36"/>
      <c r="V11" s="37"/>
    </row>
    <row r="12" spans="1:22" s="43" customFormat="1">
      <c r="A12" s="15"/>
      <c r="B12" s="10"/>
      <c r="C12" s="38" t="s">
        <v>41</v>
      </c>
      <c r="D12" s="15"/>
      <c r="E12" s="15"/>
      <c r="F12" s="15"/>
      <c r="G12" s="15"/>
      <c r="H12" s="15"/>
      <c r="I12" s="39">
        <f>SUM(I2:I9)</f>
        <v>10</v>
      </c>
      <c r="J12" s="40"/>
      <c r="K12" s="41" t="str">
        <f>IFERROR((#REF!*#REF!),"")</f>
        <v/>
      </c>
      <c r="L12" s="15"/>
      <c r="M12" s="48"/>
      <c r="N12" s="40"/>
      <c r="O12" s="54">
        <f>SUM(O2:O9)</f>
        <v>8736.75</v>
      </c>
      <c r="P12" s="41"/>
      <c r="Q12" s="54">
        <f>SUM(Q2:Q9)</f>
        <v>9736</v>
      </c>
      <c r="R12" s="54">
        <f>SUM(R2:R9)</f>
        <v>999.25</v>
      </c>
      <c r="S12" s="54">
        <f>SUM(S2:S9)</f>
        <v>194.72000000000003</v>
      </c>
      <c r="T12" s="54">
        <f>SUM(T2:T9)</f>
        <v>194.72000000000003</v>
      </c>
      <c r="U12" s="54">
        <f>SUM(U2:U9)</f>
        <v>609.80999999999995</v>
      </c>
      <c r="V12" s="42">
        <f t="shared" si="6"/>
        <v>6.263455217748562E-2</v>
      </c>
    </row>
    <row r="13" spans="1:22">
      <c r="J13" s="3"/>
      <c r="L13" s="16" t="str">
        <f>IFERROR(((#REF!*A13)*0.02),"")</f>
        <v/>
      </c>
      <c r="M13" s="50"/>
      <c r="Q13" s="46" t="str">
        <f>IFERROR(((#REF!*H13)-#REF!),"")</f>
        <v/>
      </c>
      <c r="R13" s="44" t="str">
        <f>IFERROR(((#REF!*H13)*0.02),"")</f>
        <v/>
      </c>
      <c r="S13" s="16" t="str">
        <f>IFERROR((Q13-#REF!-R13),"")</f>
        <v/>
      </c>
      <c r="U13" s="36"/>
      <c r="V13" s="9"/>
    </row>
    <row r="14" spans="1:22">
      <c r="J14" s="45" t="str">
        <f>IFERROR((#REF!/H14),"")</f>
        <v/>
      </c>
      <c r="L14" s="16" t="str">
        <f>IFERROR(((#REF!*A14)*0.02),"")</f>
        <v/>
      </c>
      <c r="M14" s="51"/>
      <c r="Q14" s="46" t="str">
        <f>IFERROR(((#REF!*H14)-#REF!),"")</f>
        <v/>
      </c>
      <c r="R14" s="44" t="str">
        <f>IFERROR(((#REF!*H14)*0.02),"")</f>
        <v/>
      </c>
      <c r="S14" s="16" t="str">
        <f>IFERROR((Q14-#REF!-R14),"")</f>
        <v/>
      </c>
    </row>
    <row r="15" spans="1:22">
      <c r="J15" s="45" t="str">
        <f>IFERROR((#REF!/H15),"")</f>
        <v/>
      </c>
      <c r="L15" s="16" t="str">
        <f>IFERROR(((#REF!*A15)*0.02),"")</f>
        <v/>
      </c>
      <c r="M15" s="51"/>
      <c r="Q15" s="46" t="str">
        <f>IFERROR(((#REF!*H15)-#REF!),"")</f>
        <v/>
      </c>
      <c r="R15" s="44" t="str">
        <f>IFERROR(((#REF!*H15)*0.02),"")</f>
        <v/>
      </c>
      <c r="S15" s="16" t="str">
        <f>IFERROR((Q15-#REF!-R15),"")</f>
        <v/>
      </c>
    </row>
    <row r="16" spans="1:22">
      <c r="J16" s="45" t="str">
        <f>IFERROR((#REF!/H16),"")</f>
        <v/>
      </c>
      <c r="L16" s="16" t="str">
        <f>IFERROR(((#REF!*A16)*0.02),"")</f>
        <v/>
      </c>
      <c r="M16" s="51"/>
      <c r="Q16" s="46" t="str">
        <f>IFERROR(((#REF!*H16)-#REF!),"")</f>
        <v/>
      </c>
      <c r="R16" s="44" t="str">
        <f>IFERROR(((#REF!*H16)*0.02),"")</f>
        <v/>
      </c>
      <c r="S16" s="16" t="str">
        <f>IFERROR((Q16-#REF!-R16),"")</f>
        <v/>
      </c>
    </row>
    <row r="17" spans="10:19">
      <c r="J17" s="45" t="str">
        <f>IFERROR((#REF!/H17),"")</f>
        <v/>
      </c>
      <c r="L17" s="16" t="str">
        <f>IFERROR(((#REF!*A17)*0.02),"")</f>
        <v/>
      </c>
      <c r="M17" s="51"/>
      <c r="Q17" s="46" t="str">
        <f>IFERROR(((#REF!*H17)-#REF!),"")</f>
        <v/>
      </c>
      <c r="R17" s="44" t="str">
        <f>IFERROR(((#REF!*H17)*0.02),"")</f>
        <v/>
      </c>
      <c r="S17" s="16" t="str">
        <f>IFERROR((Q17-#REF!-R17),"")</f>
        <v/>
      </c>
    </row>
    <row r="18" spans="10:19">
      <c r="J18" s="45" t="str">
        <f>IFERROR((#REF!/H18),"")</f>
        <v/>
      </c>
      <c r="L18" s="16" t="str">
        <f>IFERROR(((#REF!*A18)*0.02),"")</f>
        <v/>
      </c>
      <c r="M18" s="51"/>
      <c r="Q18" s="46" t="str">
        <f>IFERROR(((#REF!*H18)-#REF!),"")</f>
        <v/>
      </c>
      <c r="R18" s="44" t="str">
        <f>IFERROR(((#REF!*H18)*0.02),"")</f>
        <v/>
      </c>
      <c r="S18" s="16" t="str">
        <f>IFERROR((Q18-#REF!-R18),"")</f>
        <v/>
      </c>
    </row>
    <row r="19" spans="10:19">
      <c r="J19" s="45" t="str">
        <f>IFERROR((#REF!/H19),"")</f>
        <v/>
      </c>
      <c r="L19" s="16" t="str">
        <f>IFERROR(((#REF!*A19)*0.02),"")</f>
        <v/>
      </c>
      <c r="M19" s="51"/>
      <c r="Q19" s="46" t="str">
        <f>IFERROR(((#REF!*H19)-#REF!),"")</f>
        <v/>
      </c>
      <c r="R19" s="44" t="str">
        <f>IFERROR(((#REF!*H19)*0.02),"")</f>
        <v/>
      </c>
      <c r="S19" s="16" t="str">
        <f>IFERROR((Q19-#REF!-R19),"")</f>
        <v/>
      </c>
    </row>
    <row r="20" spans="10:19">
      <c r="J20" s="45" t="str">
        <f>IFERROR((#REF!/H20),"")</f>
        <v/>
      </c>
      <c r="L20" s="16" t="str">
        <f>IFERROR(((#REF!*A20)*0.02),"")</f>
        <v/>
      </c>
      <c r="M20" s="51"/>
      <c r="Q20" s="46" t="str">
        <f>IFERROR(((#REF!*H20)-#REF!),"")</f>
        <v/>
      </c>
      <c r="R20" s="44" t="str">
        <f>IFERROR(((#REF!*H20)*0.02),"")</f>
        <v/>
      </c>
      <c r="S20" s="16" t="str">
        <f>IFERROR((Q20-#REF!-R20),"")</f>
        <v/>
      </c>
    </row>
    <row r="21" spans="10:19">
      <c r="J21" s="45" t="str">
        <f>IFERROR((#REF!/H21),"")</f>
        <v/>
      </c>
      <c r="L21" s="16" t="str">
        <f>IFERROR(((#REF!*A21)*0.02),"")</f>
        <v/>
      </c>
      <c r="M21" s="51"/>
      <c r="Q21" s="46" t="str">
        <f>IFERROR(((#REF!*H21)-#REF!),"")</f>
        <v/>
      </c>
      <c r="R21" s="44" t="str">
        <f>IFERROR(((#REF!*H21)*0.02),"")</f>
        <v/>
      </c>
      <c r="S21" s="16" t="str">
        <f>IFERROR((Q21-#REF!-R21),"")</f>
        <v/>
      </c>
    </row>
    <row r="22" spans="10:19">
      <c r="J22" s="45" t="str">
        <f>IFERROR((#REF!/H22),"")</f>
        <v/>
      </c>
      <c r="L22" s="16" t="str">
        <f>IFERROR(((#REF!*A22)*0.02),"")</f>
        <v/>
      </c>
      <c r="M22" s="51"/>
      <c r="Q22" s="46" t="str">
        <f>IFERROR(((#REF!*H22)-#REF!),"")</f>
        <v/>
      </c>
      <c r="R22" s="44" t="str">
        <f>IFERROR(((#REF!*H22)*0.02),"")</f>
        <v/>
      </c>
      <c r="S22" s="16" t="str">
        <f>IFERROR((Q22-#REF!-R22),"")</f>
        <v/>
      </c>
    </row>
    <row r="23" spans="10:19">
      <c r="J23" s="45" t="str">
        <f>IFERROR((#REF!/H23),"")</f>
        <v/>
      </c>
      <c r="L23" s="16" t="str">
        <f>IFERROR(((#REF!*A23)*0.02),"")</f>
        <v/>
      </c>
      <c r="M23" s="51"/>
      <c r="Q23" s="46" t="str">
        <f>IFERROR(((#REF!*H23)-#REF!),"")</f>
        <v/>
      </c>
      <c r="R23" s="44" t="str">
        <f>IFERROR(((#REF!*H23)*0.02),"")</f>
        <v/>
      </c>
      <c r="S23" s="16" t="str">
        <f>IFERROR((Q23-#REF!-R23),"")</f>
        <v/>
      </c>
    </row>
    <row r="24" spans="10:19">
      <c r="J24" s="45" t="str">
        <f>IFERROR((#REF!/H24),"")</f>
        <v/>
      </c>
      <c r="L24" s="16" t="str">
        <f>IFERROR(((#REF!*A24)*0.02),"")</f>
        <v/>
      </c>
      <c r="M24" s="51"/>
      <c r="Q24" s="46" t="str">
        <f>IFERROR(((#REF!*H24)-#REF!),"")</f>
        <v/>
      </c>
      <c r="R24" s="44" t="str">
        <f>IFERROR(((#REF!*H24)*0.02),"")</f>
        <v/>
      </c>
      <c r="S24" s="16" t="str">
        <f>IFERROR((Q24-#REF!-R24),"")</f>
        <v/>
      </c>
    </row>
    <row r="25" spans="10:19">
      <c r="J25" s="45" t="str">
        <f>IFERROR((#REF!/H25),"")</f>
        <v/>
      </c>
      <c r="L25" s="16" t="str">
        <f>IFERROR(((#REF!*A25)*0.02),"")</f>
        <v/>
      </c>
      <c r="M25" s="51"/>
      <c r="Q25" s="46" t="str">
        <f>IFERROR(((#REF!*H25)-#REF!),"")</f>
        <v/>
      </c>
      <c r="R25" s="44" t="str">
        <f>IFERROR(((#REF!*H25)*0.02),"")</f>
        <v/>
      </c>
      <c r="S25" s="16" t="str">
        <f>IFERROR((Q25-#REF!-R25),"")</f>
        <v/>
      </c>
    </row>
    <row r="26" spans="10:19">
      <c r="J26" s="45" t="str">
        <f>IFERROR((#REF!/H26),"")</f>
        <v/>
      </c>
      <c r="L26" s="16" t="str">
        <f>IFERROR(((#REF!*A26)*0.02),"")</f>
        <v/>
      </c>
      <c r="M26" s="51"/>
      <c r="Q26" s="46" t="str">
        <f>IFERROR(((#REF!*H26)-#REF!),"")</f>
        <v/>
      </c>
      <c r="R26" s="44" t="str">
        <f>IFERROR(((#REF!*H26)*0.02),"")</f>
        <v/>
      </c>
      <c r="S26" s="16" t="str">
        <f>IFERROR((Q26-#REF!-R26),"")</f>
        <v/>
      </c>
    </row>
    <row r="27" spans="10:19">
      <c r="J27" s="45" t="str">
        <f>IFERROR((#REF!/H27),"")</f>
        <v/>
      </c>
      <c r="L27" s="16" t="str">
        <f>IFERROR(((#REF!*A27)*0.02),"")</f>
        <v/>
      </c>
      <c r="M27" s="51"/>
      <c r="Q27" s="46" t="str">
        <f>IFERROR(((#REF!*H27)-#REF!),"")</f>
        <v/>
      </c>
      <c r="R27" s="44" t="str">
        <f>IFERROR(((#REF!*H27)*0.02),"")</f>
        <v/>
      </c>
      <c r="S27" s="16" t="str">
        <f>IFERROR((Q27-#REF!-R27),"")</f>
        <v/>
      </c>
    </row>
    <row r="28" spans="10:19">
      <c r="J28" s="45" t="str">
        <f>IFERROR((#REF!/H28),"")</f>
        <v/>
      </c>
      <c r="L28" s="16" t="str">
        <f>IFERROR(((#REF!*A28)*0.02),"")</f>
        <v/>
      </c>
      <c r="M28" s="51"/>
      <c r="Q28" s="46" t="str">
        <f>IFERROR(((#REF!*H28)-#REF!),"")</f>
        <v/>
      </c>
      <c r="R28" s="44" t="str">
        <f>IFERROR(((#REF!*H28)*0.02),"")</f>
        <v/>
      </c>
      <c r="S28" s="16" t="str">
        <f>IFERROR((Q28-#REF!-R28),"")</f>
        <v/>
      </c>
    </row>
    <row r="29" spans="10:19">
      <c r="J29" s="45" t="str">
        <f>IFERROR((#REF!/H29),"")</f>
        <v/>
      </c>
      <c r="L29" s="16" t="str">
        <f>IFERROR(((#REF!*A29)*0.02),"")</f>
        <v/>
      </c>
      <c r="M29" s="51"/>
      <c r="Q29" s="46" t="str">
        <f>IFERROR(((#REF!*H29)-#REF!),"")</f>
        <v/>
      </c>
      <c r="R29" s="44" t="str">
        <f>IFERROR(((#REF!*H29)*0.02),"")</f>
        <v/>
      </c>
      <c r="S29" s="16" t="str">
        <f>IFERROR((Q29-#REF!-R29),"")</f>
        <v/>
      </c>
    </row>
    <row r="30" spans="10:19">
      <c r="J30" s="45" t="str">
        <f>IFERROR((#REF!/H30),"")</f>
        <v/>
      </c>
      <c r="L30" s="16" t="str">
        <f>IFERROR(((#REF!*A30)*0.02),"")</f>
        <v/>
      </c>
      <c r="M30" s="51"/>
      <c r="Q30" s="46" t="str">
        <f>IFERROR(((#REF!*H30)-#REF!),"")</f>
        <v/>
      </c>
      <c r="R30" s="44" t="str">
        <f>IFERROR(((#REF!*H30)*0.02),"")</f>
        <v/>
      </c>
      <c r="S30" s="16" t="str">
        <f>IFERROR((Q30-#REF!-R30),"")</f>
        <v/>
      </c>
    </row>
    <row r="31" spans="10:19">
      <c r="J31" s="45" t="str">
        <f>IFERROR((#REF!/H31),"")</f>
        <v/>
      </c>
      <c r="L31" s="16" t="str">
        <f>IFERROR(((#REF!*A31)*0.02),"")</f>
        <v/>
      </c>
      <c r="M31" s="51"/>
      <c r="Q31" s="46" t="str">
        <f>IFERROR(((#REF!*H31)-#REF!),"")</f>
        <v/>
      </c>
      <c r="R31" s="44" t="str">
        <f>IFERROR(((#REF!*H31)*0.02),"")</f>
        <v/>
      </c>
      <c r="S31" s="16" t="str">
        <f>IFERROR((Q31-#REF!-R31),"")</f>
        <v/>
      </c>
    </row>
    <row r="32" spans="10:19">
      <c r="J32" s="45" t="str">
        <f>IFERROR((#REF!/H32),"")</f>
        <v/>
      </c>
      <c r="L32" s="16" t="str">
        <f>IFERROR(((#REF!*A32)*0.02),"")</f>
        <v/>
      </c>
      <c r="M32" s="51"/>
      <c r="Q32" s="46" t="str">
        <f>IFERROR(((#REF!*H32)-#REF!),"")</f>
        <v/>
      </c>
      <c r="R32" s="44" t="str">
        <f>IFERROR(((#REF!*H32)*0.02),"")</f>
        <v/>
      </c>
      <c r="S32" s="16" t="str">
        <f>IFERROR((Q32-#REF!-R32),"")</f>
        <v/>
      </c>
    </row>
    <row r="33" spans="10:19">
      <c r="J33" s="45" t="str">
        <f>IFERROR((#REF!/H33),"")</f>
        <v/>
      </c>
      <c r="L33" s="16" t="str">
        <f>IFERROR(((#REF!*A33)*0.02),"")</f>
        <v/>
      </c>
      <c r="M33" s="51"/>
      <c r="Q33" s="46" t="str">
        <f>IFERROR(((#REF!*H33)-#REF!),"")</f>
        <v/>
      </c>
      <c r="R33" s="44" t="str">
        <f>IFERROR(((#REF!*H33)*0.02),"")</f>
        <v/>
      </c>
      <c r="S33" s="16" t="str">
        <f>IFERROR((Q33-#REF!-R33),"")</f>
        <v/>
      </c>
    </row>
    <row r="34" spans="10:19">
      <c r="J34" s="45" t="str">
        <f>IFERROR((#REF!/H34),"")</f>
        <v/>
      </c>
      <c r="L34" s="16" t="str">
        <f>IFERROR(((#REF!*A34)*0.02),"")</f>
        <v/>
      </c>
      <c r="M34" s="51"/>
      <c r="Q34" s="46" t="str">
        <f>IFERROR(((#REF!*H34)-#REF!),"")</f>
        <v/>
      </c>
      <c r="R34" s="44" t="str">
        <f>IFERROR(((#REF!*H34)*0.02),"")</f>
        <v/>
      </c>
      <c r="S34" s="16" t="str">
        <f>IFERROR((Q34-#REF!-R34),"")</f>
        <v/>
      </c>
    </row>
    <row r="35" spans="10:19">
      <c r="J35" s="45" t="str">
        <f>IFERROR((#REF!/H35),"")</f>
        <v/>
      </c>
      <c r="L35" s="16" t="str">
        <f>IFERROR(((#REF!*A35)*0.02),"")</f>
        <v/>
      </c>
      <c r="M35" s="51"/>
      <c r="Q35" s="46" t="str">
        <f>IFERROR(((#REF!*H35)-#REF!),"")</f>
        <v/>
      </c>
      <c r="R35" s="44" t="str">
        <f>IFERROR(((#REF!*H35)*0.02),"")</f>
        <v/>
      </c>
      <c r="S35" s="16" t="str">
        <f>IFERROR((Q35-#REF!-R35),"")</f>
        <v/>
      </c>
    </row>
    <row r="36" spans="10:19">
      <c r="J36" s="45" t="str">
        <f>IFERROR((#REF!/H36),"")</f>
        <v/>
      </c>
      <c r="L36" s="16" t="str">
        <f>IFERROR(((#REF!*A36)*0.02),"")</f>
        <v/>
      </c>
      <c r="M36" s="51"/>
      <c r="Q36" s="46" t="str">
        <f>IFERROR(((#REF!*H36)-#REF!),"")</f>
        <v/>
      </c>
      <c r="R36" s="44" t="str">
        <f>IFERROR(((#REF!*H36)*0.02),"")</f>
        <v/>
      </c>
      <c r="S36" s="16" t="str">
        <f>IFERROR((Q36-#REF!-R36),"")</f>
        <v/>
      </c>
    </row>
    <row r="37" spans="10:19">
      <c r="J37" s="45" t="str">
        <f>IFERROR((#REF!/H37),"")</f>
        <v/>
      </c>
      <c r="L37" s="16" t="str">
        <f>IFERROR(((#REF!*A37)*0.02),"")</f>
        <v/>
      </c>
      <c r="M37" s="51"/>
      <c r="Q37" s="46" t="str">
        <f>IFERROR(((#REF!*H37)-#REF!),"")</f>
        <v/>
      </c>
      <c r="R37" s="44" t="str">
        <f>IFERROR(((#REF!*H37)*0.02),"")</f>
        <v/>
      </c>
      <c r="S37" s="16" t="str">
        <f>IFERROR((Q37-#REF!-R37),"")</f>
        <v/>
      </c>
    </row>
    <row r="38" spans="10:19">
      <c r="J38" s="45" t="str">
        <f>IFERROR((#REF!/H38),"")</f>
        <v/>
      </c>
      <c r="L38" s="16" t="str">
        <f>IFERROR(((#REF!*A38)*0.02),"")</f>
        <v/>
      </c>
      <c r="M38" s="51"/>
      <c r="Q38" s="46" t="str">
        <f>IFERROR(((#REF!*H38)-#REF!),"")</f>
        <v/>
      </c>
      <c r="R38" s="44" t="str">
        <f>IFERROR(((#REF!*H38)*0.02),"")</f>
        <v/>
      </c>
      <c r="S38" s="16" t="str">
        <f>IFERROR((Q38-#REF!-R38),"")</f>
        <v/>
      </c>
    </row>
    <row r="39" spans="10:19">
      <c r="J39" s="45" t="str">
        <f>IFERROR((#REF!/H39),"")</f>
        <v/>
      </c>
      <c r="L39" s="16" t="str">
        <f>IFERROR(((#REF!*A39)*0.02),"")</f>
        <v/>
      </c>
      <c r="M39" s="51"/>
      <c r="Q39" s="46" t="str">
        <f>IFERROR(((#REF!*H39)-#REF!),"")</f>
        <v/>
      </c>
      <c r="R39" s="44" t="str">
        <f>IFERROR(((#REF!*H39)*0.02),"")</f>
        <v/>
      </c>
      <c r="S39" s="16" t="str">
        <f>IFERROR((Q39-#REF!-R39),"")</f>
        <v/>
      </c>
    </row>
    <row r="40" spans="10:19">
      <c r="J40" s="45" t="str">
        <f>IFERROR((#REF!/H40),"")</f>
        <v/>
      </c>
      <c r="L40" s="16" t="str">
        <f>IFERROR(((#REF!*A40)*0.02),"")</f>
        <v/>
      </c>
      <c r="M40" s="51"/>
      <c r="Q40" s="46" t="str">
        <f>IFERROR(((#REF!*H40)-#REF!),"")</f>
        <v/>
      </c>
      <c r="R40" s="44" t="str">
        <f>IFERROR(((#REF!*H40)*0.02),"")</f>
        <v/>
      </c>
      <c r="S40" s="16" t="str">
        <f>IFERROR((Q40-#REF!-R40),"")</f>
        <v/>
      </c>
    </row>
    <row r="41" spans="10:19">
      <c r="J41" s="45" t="str">
        <f>IFERROR((#REF!/H41),"")</f>
        <v/>
      </c>
      <c r="L41" s="16" t="str">
        <f>IFERROR(((#REF!*A41)*0.02),"")</f>
        <v/>
      </c>
      <c r="M41" s="51"/>
      <c r="Q41" s="46" t="str">
        <f>IFERROR(((#REF!*H41)-#REF!),"")</f>
        <v/>
      </c>
      <c r="R41" s="44" t="str">
        <f>IFERROR(((#REF!*H41)*0.02),"")</f>
        <v/>
      </c>
      <c r="S41" s="16" t="str">
        <f>IFERROR((Q41-#REF!-R41),"")</f>
        <v/>
      </c>
    </row>
    <row r="42" spans="10:19">
      <c r="J42" s="45" t="str">
        <f>IFERROR((#REF!/H42),"")</f>
        <v/>
      </c>
      <c r="L42" s="16" t="str">
        <f>IFERROR(((#REF!*A42)*0.02),"")</f>
        <v/>
      </c>
      <c r="M42" s="51"/>
      <c r="Q42" s="46" t="str">
        <f>IFERROR(((#REF!*H42)-#REF!),"")</f>
        <v/>
      </c>
      <c r="R42" s="44" t="str">
        <f>IFERROR(((#REF!*H42)*0.02),"")</f>
        <v/>
      </c>
      <c r="S42" s="16" t="str">
        <f>IFERROR((Q42-#REF!-R42),"")</f>
        <v/>
      </c>
    </row>
    <row r="43" spans="10:19">
      <c r="J43" s="45" t="str">
        <f>IFERROR((#REF!/H43),"")</f>
        <v/>
      </c>
      <c r="L43" s="16" t="str">
        <f>IFERROR(((#REF!*A43)*0.02),"")</f>
        <v/>
      </c>
      <c r="M43" s="51"/>
      <c r="Q43" s="46" t="str">
        <f>IFERROR(((#REF!*H43)-#REF!),"")</f>
        <v/>
      </c>
      <c r="R43" s="44" t="str">
        <f>IFERROR(((#REF!*H43)*0.02),"")</f>
        <v/>
      </c>
      <c r="S43" s="16" t="str">
        <f>IFERROR((Q43-#REF!-R43),"")</f>
        <v/>
      </c>
    </row>
    <row r="44" spans="10:19">
      <c r="J44" s="45" t="str">
        <f>IFERROR((#REF!/H44),"")</f>
        <v/>
      </c>
      <c r="L44" s="16" t="str">
        <f>IFERROR(((#REF!*A44)*0.02),"")</f>
        <v/>
      </c>
      <c r="M44" s="51"/>
      <c r="Q44" s="46" t="str">
        <f>IFERROR(((#REF!*H44)-#REF!),"")</f>
        <v/>
      </c>
      <c r="R44" s="44" t="str">
        <f>IFERROR(((#REF!*H44)*0.02),"")</f>
        <v/>
      </c>
      <c r="S44" s="16" t="str">
        <f>IFERROR((Q44-#REF!-R44),"")</f>
        <v/>
      </c>
    </row>
    <row r="45" spans="10:19">
      <c r="J45" s="45" t="str">
        <f>IFERROR((#REF!/H45),"")</f>
        <v/>
      </c>
      <c r="L45" s="16" t="str">
        <f>IFERROR(((#REF!*A45)*0.02),"")</f>
        <v/>
      </c>
      <c r="M45" s="51"/>
      <c r="Q45" s="46" t="str">
        <f>IFERROR(((#REF!*H45)-#REF!),"")</f>
        <v/>
      </c>
      <c r="R45" s="44" t="str">
        <f>IFERROR(((#REF!*H45)*0.02),"")</f>
        <v/>
      </c>
      <c r="S45" s="16" t="str">
        <f>IFERROR((Q45-#REF!-R45),"")</f>
        <v/>
      </c>
    </row>
    <row r="46" spans="10:19">
      <c r="J46" s="45" t="str">
        <f>IFERROR((#REF!/H46),"")</f>
        <v/>
      </c>
      <c r="L46" s="16" t="str">
        <f>IFERROR(((#REF!*A46)*0.02),"")</f>
        <v/>
      </c>
      <c r="M46" s="51"/>
      <c r="Q46" s="46" t="str">
        <f>IFERROR(((#REF!*H46)-#REF!),"")</f>
        <v/>
      </c>
      <c r="R46" s="44" t="str">
        <f>IFERROR(((#REF!*H46)*0.02),"")</f>
        <v/>
      </c>
      <c r="S46" s="16" t="str">
        <f>IFERROR((Q46-#REF!-R46),"")</f>
        <v/>
      </c>
    </row>
    <row r="47" spans="10:19">
      <c r="J47" s="45" t="str">
        <f>IFERROR((#REF!/H47),"")</f>
        <v/>
      </c>
      <c r="L47" s="16" t="str">
        <f>IFERROR(((#REF!*A47)*0.02),"")</f>
        <v/>
      </c>
      <c r="M47" s="51"/>
      <c r="Q47" s="46" t="str">
        <f>IFERROR(((#REF!*H47)-#REF!),"")</f>
        <v/>
      </c>
      <c r="R47" s="44" t="str">
        <f>IFERROR(((#REF!*H47)*0.02),"")</f>
        <v/>
      </c>
      <c r="S47" s="16" t="str">
        <f>IFERROR((Q47-#REF!-R47),"")</f>
        <v/>
      </c>
    </row>
    <row r="48" spans="10:19">
      <c r="J48" s="45" t="str">
        <f>IFERROR((#REF!/H48),"")</f>
        <v/>
      </c>
      <c r="L48" s="16" t="str">
        <f>IFERROR(((#REF!*A48)*0.02),"")</f>
        <v/>
      </c>
      <c r="M48" s="51"/>
      <c r="Q48" s="46" t="str">
        <f>IFERROR(((#REF!*H48)-#REF!),"")</f>
        <v/>
      </c>
      <c r="R48" s="44" t="str">
        <f>IFERROR(((#REF!*H48)*0.02),"")</f>
        <v/>
      </c>
      <c r="S48" s="16" t="str">
        <f>IFERROR((Q48-#REF!-R48),"")</f>
        <v/>
      </c>
    </row>
    <row r="49" spans="10:19">
      <c r="J49" s="45" t="str">
        <f>IFERROR((#REF!/H49),"")</f>
        <v/>
      </c>
      <c r="L49" s="16" t="str">
        <f>IFERROR(((#REF!*A49)*0.02),"")</f>
        <v/>
      </c>
      <c r="M49" s="51"/>
      <c r="Q49" s="46" t="str">
        <f>IFERROR(((#REF!*H49)-#REF!),"")</f>
        <v/>
      </c>
      <c r="R49" s="44" t="str">
        <f>IFERROR(((#REF!*H49)*0.02),"")</f>
        <v/>
      </c>
      <c r="S49" s="16" t="str">
        <f>IFERROR((Q49-#REF!-R49),"")</f>
        <v/>
      </c>
    </row>
    <row r="50" spans="10:19">
      <c r="J50" s="45" t="str">
        <f>IFERROR((#REF!/H50),"")</f>
        <v/>
      </c>
      <c r="L50" s="16" t="str">
        <f>IFERROR(((#REF!*A50)*0.02),"")</f>
        <v/>
      </c>
      <c r="M50" s="51"/>
      <c r="Q50" s="46" t="str">
        <f>IFERROR(((#REF!*H50)-#REF!),"")</f>
        <v/>
      </c>
      <c r="R50" s="44" t="str">
        <f>IFERROR(((#REF!*H50)*0.02),"")</f>
        <v/>
      </c>
      <c r="S50" s="16" t="str">
        <f>IFERROR((Q50-#REF!-R50),"")</f>
        <v/>
      </c>
    </row>
    <row r="51" spans="10:19">
      <c r="J51" s="45" t="str">
        <f>IFERROR((#REF!/H51),"")</f>
        <v/>
      </c>
      <c r="L51" s="16" t="str">
        <f>IFERROR(((#REF!*A51)*0.02),"")</f>
        <v/>
      </c>
      <c r="M51" s="51"/>
      <c r="Q51" s="46" t="str">
        <f>IFERROR(((#REF!*H51)-#REF!),"")</f>
        <v/>
      </c>
      <c r="R51" s="44" t="str">
        <f>IFERROR(((#REF!*H51)*0.02),"")</f>
        <v/>
      </c>
      <c r="S51" s="16" t="str">
        <f>IFERROR((Q51-#REF!-R51),"")</f>
        <v/>
      </c>
    </row>
    <row r="52" spans="10:19">
      <c r="J52" s="45" t="str">
        <f>IFERROR((#REF!/H52),"")</f>
        <v/>
      </c>
      <c r="L52" s="16" t="str">
        <f>IFERROR(((#REF!*A52)*0.02),"")</f>
        <v/>
      </c>
      <c r="M52" s="51"/>
      <c r="Q52" s="46" t="str">
        <f>IFERROR(((#REF!*H52)-#REF!),"")</f>
        <v/>
      </c>
      <c r="R52" s="44" t="str">
        <f>IFERROR(((#REF!*H52)*0.02),"")</f>
        <v/>
      </c>
      <c r="S52" s="16" t="str">
        <f>IFERROR((Q52-#REF!-R52),"")</f>
        <v/>
      </c>
    </row>
    <row r="53" spans="10:19">
      <c r="J53" s="45" t="str">
        <f>IFERROR((#REF!/H53),"")</f>
        <v/>
      </c>
      <c r="L53" s="16" t="str">
        <f>IFERROR(((#REF!*A53)*0.02),"")</f>
        <v/>
      </c>
      <c r="M53" s="51"/>
      <c r="Q53" s="46" t="str">
        <f>IFERROR(((#REF!*H53)-#REF!),"")</f>
        <v/>
      </c>
      <c r="R53" s="44" t="str">
        <f>IFERROR(((#REF!*H53)*0.02),"")</f>
        <v/>
      </c>
      <c r="S53" s="16" t="str">
        <f>IFERROR((Q53-#REF!-R53),"")</f>
        <v/>
      </c>
    </row>
    <row r="54" spans="10:19">
      <c r="J54" s="45" t="str">
        <f>IFERROR((#REF!/H54),"")</f>
        <v/>
      </c>
      <c r="L54" s="16" t="str">
        <f>IFERROR(((#REF!*A54)*0.02),"")</f>
        <v/>
      </c>
      <c r="M54" s="51"/>
      <c r="Q54" s="46" t="str">
        <f>IFERROR(((#REF!*H54)-#REF!),"")</f>
        <v/>
      </c>
      <c r="R54" s="44" t="str">
        <f>IFERROR(((#REF!*H54)*0.02),"")</f>
        <v/>
      </c>
      <c r="S54" s="16" t="str">
        <f>IFERROR((Q54-#REF!-R54),"")</f>
        <v/>
      </c>
    </row>
    <row r="55" spans="10:19">
      <c r="J55" s="45" t="str">
        <f>IFERROR((#REF!/H55),"")</f>
        <v/>
      </c>
      <c r="L55" s="16" t="str">
        <f>IFERROR(((#REF!*A55)*0.02),"")</f>
        <v/>
      </c>
      <c r="M55" s="51"/>
      <c r="Q55" s="46" t="str">
        <f>IFERROR(((#REF!*H55)-#REF!),"")</f>
        <v/>
      </c>
      <c r="R55" s="44" t="str">
        <f>IFERROR(((#REF!*H55)*0.02),"")</f>
        <v/>
      </c>
      <c r="S55" s="16" t="str">
        <f>IFERROR((Q55-#REF!-R55),"")</f>
        <v/>
      </c>
    </row>
    <row r="56" spans="10:19">
      <c r="J56" s="45" t="str">
        <f>IFERROR((#REF!/H56),"")</f>
        <v/>
      </c>
      <c r="L56" s="16" t="str">
        <f>IFERROR(((#REF!*A56)*0.02),"")</f>
        <v/>
      </c>
      <c r="M56" s="51"/>
      <c r="Q56" s="46" t="str">
        <f>IFERROR(((#REF!*H56)-#REF!),"")</f>
        <v/>
      </c>
      <c r="R56" s="44" t="str">
        <f>IFERROR(((#REF!*H56)*0.02),"")</f>
        <v/>
      </c>
      <c r="S56" s="16" t="str">
        <f>IFERROR((Q56-#REF!-R56),"")</f>
        <v/>
      </c>
    </row>
    <row r="57" spans="10:19">
      <c r="J57" s="45" t="str">
        <f>IFERROR((#REF!/H57),"")</f>
        <v/>
      </c>
      <c r="L57" s="16" t="str">
        <f>IFERROR(((#REF!*A57)*0.02),"")</f>
        <v/>
      </c>
      <c r="M57" s="51"/>
      <c r="Q57" s="46" t="str">
        <f>IFERROR(((#REF!*H57)-#REF!),"")</f>
        <v/>
      </c>
      <c r="R57" s="44" t="str">
        <f>IFERROR(((#REF!*H57)*0.02),"")</f>
        <v/>
      </c>
      <c r="S57" s="16" t="str">
        <f>IFERROR((Q57-#REF!-R57),"")</f>
        <v/>
      </c>
    </row>
    <row r="58" spans="10:19">
      <c r="J58" s="45" t="str">
        <f>IFERROR((#REF!/H58),"")</f>
        <v/>
      </c>
      <c r="L58" s="16" t="str">
        <f>IFERROR(((#REF!*A58)*0.02),"")</f>
        <v/>
      </c>
      <c r="M58" s="51"/>
      <c r="Q58" s="46" t="str">
        <f>IFERROR(((#REF!*H58)-#REF!),"")</f>
        <v/>
      </c>
      <c r="R58" s="44" t="str">
        <f>IFERROR(((#REF!*H58)*0.02),"")</f>
        <v/>
      </c>
      <c r="S58" s="16" t="str">
        <f>IFERROR((Q58-#REF!-R58),"")</f>
        <v/>
      </c>
    </row>
    <row r="59" spans="10:19">
      <c r="J59" s="45" t="str">
        <f>IFERROR((#REF!/H59),"")</f>
        <v/>
      </c>
      <c r="L59" s="16" t="str">
        <f>IFERROR(((#REF!*A59)*0.02),"")</f>
        <v/>
      </c>
      <c r="M59" s="51"/>
      <c r="Q59" s="46" t="str">
        <f>IFERROR(((#REF!*H59)-#REF!),"")</f>
        <v/>
      </c>
      <c r="R59" s="44" t="str">
        <f>IFERROR(((#REF!*H59)*0.02),"")</f>
        <v/>
      </c>
      <c r="S59" s="16" t="str">
        <f>IFERROR((Q59-#REF!-R59),"")</f>
        <v/>
      </c>
    </row>
    <row r="60" spans="10:19">
      <c r="J60" s="45" t="str">
        <f>IFERROR((#REF!/H60),"")</f>
        <v/>
      </c>
      <c r="L60" s="16" t="str">
        <f>IFERROR(((#REF!*A60)*0.02),"")</f>
        <v/>
      </c>
      <c r="M60" s="51"/>
      <c r="Q60" s="46" t="str">
        <f>IFERROR(((#REF!*H60)-#REF!),"")</f>
        <v/>
      </c>
      <c r="R60" s="44" t="str">
        <f>IFERROR(((#REF!*H60)*0.02),"")</f>
        <v/>
      </c>
      <c r="S60" s="16" t="str">
        <f>IFERROR((Q60-#REF!-R60),"")</f>
        <v/>
      </c>
    </row>
    <row r="61" spans="10:19">
      <c r="J61" s="45" t="str">
        <f>IFERROR((#REF!/H61),"")</f>
        <v/>
      </c>
      <c r="L61" s="16" t="str">
        <f>IFERROR(((#REF!*A61)*0.02),"")</f>
        <v/>
      </c>
      <c r="M61" s="51"/>
      <c r="Q61" s="46" t="str">
        <f>IFERROR(((#REF!*H61)-#REF!),"")</f>
        <v/>
      </c>
      <c r="R61" s="44" t="str">
        <f>IFERROR(((#REF!*H61)*0.02),"")</f>
        <v/>
      </c>
      <c r="S61" s="16" t="str">
        <f>IFERROR((Q61-#REF!-R61),"")</f>
        <v/>
      </c>
    </row>
    <row r="62" spans="10:19">
      <c r="J62" s="45" t="str">
        <f>IFERROR((#REF!/H62),"")</f>
        <v/>
      </c>
      <c r="L62" s="16" t="str">
        <f>IFERROR(((#REF!*A62)*0.02),"")</f>
        <v/>
      </c>
      <c r="M62" s="51"/>
      <c r="Q62" s="46" t="str">
        <f>IFERROR(((#REF!*H62)-#REF!),"")</f>
        <v/>
      </c>
      <c r="R62" s="44" t="str">
        <f>IFERROR(((#REF!*H62)*0.02),"")</f>
        <v/>
      </c>
      <c r="S62" s="16" t="str">
        <f>IFERROR((Q62-#REF!-R62),"")</f>
        <v/>
      </c>
    </row>
    <row r="63" spans="10:19">
      <c r="J63" s="45" t="str">
        <f>IFERROR((#REF!/H63),"")</f>
        <v/>
      </c>
      <c r="L63" s="16" t="str">
        <f>IFERROR(((#REF!*A63)*0.02),"")</f>
        <v/>
      </c>
      <c r="M63" s="51"/>
      <c r="Q63" s="46" t="str">
        <f>IFERROR(((#REF!*H63)-#REF!),"")</f>
        <v/>
      </c>
      <c r="R63" s="44" t="str">
        <f>IFERROR(((#REF!*H63)*0.02),"")</f>
        <v/>
      </c>
      <c r="S63" s="16" t="str">
        <f>IFERROR((Q63-#REF!-R63),"")</f>
        <v/>
      </c>
    </row>
    <row r="64" spans="10:19">
      <c r="J64" s="45" t="str">
        <f>IFERROR((#REF!/H64),"")</f>
        <v/>
      </c>
      <c r="L64" s="16" t="str">
        <f>IFERROR(((#REF!*A64)*0.02),"")</f>
        <v/>
      </c>
      <c r="M64" s="51"/>
      <c r="Q64" s="46" t="str">
        <f>IFERROR(((#REF!*H64)-#REF!),"")</f>
        <v/>
      </c>
      <c r="R64" s="44" t="str">
        <f>IFERROR(((#REF!*H64)*0.02),"")</f>
        <v/>
      </c>
      <c r="S64" s="16" t="str">
        <f>IFERROR((Q64-#REF!-R64),"")</f>
        <v/>
      </c>
    </row>
    <row r="65" spans="10:19">
      <c r="J65" s="45" t="str">
        <f>IFERROR((#REF!/H65),"")</f>
        <v/>
      </c>
      <c r="L65" s="16" t="str">
        <f>IFERROR(((#REF!*A65)*0.02),"")</f>
        <v/>
      </c>
      <c r="M65" s="51"/>
      <c r="Q65" s="46" t="str">
        <f>IFERROR(((#REF!*H65)-#REF!),"")</f>
        <v/>
      </c>
      <c r="R65" s="44" t="str">
        <f>IFERROR(((#REF!*H65)*0.02),"")</f>
        <v/>
      </c>
      <c r="S65" s="16" t="str">
        <f>IFERROR((Q65-#REF!-R65),"")</f>
        <v/>
      </c>
    </row>
    <row r="66" spans="10:19">
      <c r="J66" s="45" t="str">
        <f>IFERROR((#REF!/H66),"")</f>
        <v/>
      </c>
      <c r="L66" s="16" t="str">
        <f>IFERROR(((#REF!*A66)*0.02),"")</f>
        <v/>
      </c>
      <c r="M66" s="51"/>
      <c r="Q66" s="46" t="str">
        <f>IFERROR(((#REF!*H66)-#REF!),"")</f>
        <v/>
      </c>
      <c r="R66" s="44" t="str">
        <f>IFERROR(((#REF!*H66)*0.02),"")</f>
        <v/>
      </c>
      <c r="S66" s="16" t="str">
        <f>IFERROR((Q66-#REF!-R66),"")</f>
        <v/>
      </c>
    </row>
    <row r="67" spans="10:19">
      <c r="J67" s="45" t="str">
        <f>IFERROR((#REF!/H67),"")</f>
        <v/>
      </c>
      <c r="L67" s="16" t="str">
        <f>IFERROR(((#REF!*A67)*0.02),"")</f>
        <v/>
      </c>
      <c r="M67" s="51"/>
      <c r="Q67" s="46" t="str">
        <f>IFERROR(((#REF!*H67)-#REF!),"")</f>
        <v/>
      </c>
      <c r="R67" s="44" t="str">
        <f>IFERROR(((#REF!*H67)*0.02),"")</f>
        <v/>
      </c>
      <c r="S67" s="16" t="str">
        <f>IFERROR((Q67-#REF!-R67),"")</f>
        <v/>
      </c>
    </row>
    <row r="68" spans="10:19">
      <c r="J68" s="45" t="str">
        <f>IFERROR((#REF!/H68),"")</f>
        <v/>
      </c>
      <c r="L68" s="16" t="str">
        <f>IFERROR(((#REF!*A68)*0.02),"")</f>
        <v/>
      </c>
      <c r="M68" s="51"/>
      <c r="Q68" s="46" t="str">
        <f>IFERROR(((#REF!*H68)-#REF!),"")</f>
        <v/>
      </c>
      <c r="R68" s="44" t="str">
        <f>IFERROR(((#REF!*H68)*0.02),"")</f>
        <v/>
      </c>
      <c r="S68" s="16" t="str">
        <f>IFERROR((Q68-#REF!-R68),"")</f>
        <v/>
      </c>
    </row>
    <row r="69" spans="10:19">
      <c r="J69" s="45" t="str">
        <f>IFERROR((#REF!/H69),"")</f>
        <v/>
      </c>
      <c r="L69" s="16" t="str">
        <f>IFERROR(((#REF!*A69)*0.02),"")</f>
        <v/>
      </c>
      <c r="M69" s="51"/>
      <c r="Q69" s="46" t="str">
        <f>IFERROR(((#REF!*H69)-#REF!),"")</f>
        <v/>
      </c>
      <c r="R69" s="44" t="str">
        <f>IFERROR(((#REF!*H69)*0.02),"")</f>
        <v/>
      </c>
      <c r="S69" s="16" t="str">
        <f>IFERROR((Q69-#REF!-R69),"")</f>
        <v/>
      </c>
    </row>
    <row r="70" spans="10:19">
      <c r="J70" s="45" t="str">
        <f>IFERROR((#REF!/H70),"")</f>
        <v/>
      </c>
      <c r="L70" s="16" t="str">
        <f>IFERROR(((#REF!*A70)*0.02),"")</f>
        <v/>
      </c>
      <c r="M70" s="51"/>
      <c r="Q70" s="46" t="str">
        <f>IFERROR(((#REF!*H70)-#REF!),"")</f>
        <v/>
      </c>
      <c r="R70" s="44" t="str">
        <f>IFERROR(((#REF!*H70)*0.02),"")</f>
        <v/>
      </c>
      <c r="S70" s="16" t="str">
        <f>IFERROR((Q70-#REF!-R70),"")</f>
        <v/>
      </c>
    </row>
    <row r="71" spans="10:19">
      <c r="J71" s="45" t="str">
        <f>IFERROR((#REF!/H71),"")</f>
        <v/>
      </c>
      <c r="L71" s="16" t="str">
        <f>IFERROR(((#REF!*A71)*0.02),"")</f>
        <v/>
      </c>
      <c r="M71" s="51"/>
      <c r="Q71" s="46" t="str">
        <f>IFERROR(((#REF!*H71)-#REF!),"")</f>
        <v/>
      </c>
      <c r="R71" s="44" t="str">
        <f>IFERROR(((#REF!*H71)*0.02),"")</f>
        <v/>
      </c>
      <c r="S71" s="16" t="str">
        <f>IFERROR((Q71-#REF!-R71),"")</f>
        <v/>
      </c>
    </row>
    <row r="72" spans="10:19">
      <c r="J72" s="45" t="str">
        <f>IFERROR((#REF!/H72),"")</f>
        <v/>
      </c>
      <c r="L72" s="16" t="str">
        <f>IFERROR(((#REF!*A72)*0.02),"")</f>
        <v/>
      </c>
      <c r="M72" s="51"/>
      <c r="Q72" s="46" t="str">
        <f>IFERROR(((#REF!*H72)-#REF!),"")</f>
        <v/>
      </c>
      <c r="R72" s="44" t="str">
        <f>IFERROR(((#REF!*H72)*0.02),"")</f>
        <v/>
      </c>
      <c r="S72" s="16" t="str">
        <f>IFERROR((Q72-#REF!-R72),"")</f>
        <v/>
      </c>
    </row>
    <row r="73" spans="10:19">
      <c r="J73" s="45" t="str">
        <f>IFERROR((#REF!/H73),"")</f>
        <v/>
      </c>
      <c r="L73" s="16" t="str">
        <f>IFERROR(((#REF!*A73)*0.02),"")</f>
        <v/>
      </c>
      <c r="M73" s="51"/>
      <c r="Q73" s="46" t="str">
        <f>IFERROR(((#REF!*H73)-#REF!),"")</f>
        <v/>
      </c>
      <c r="R73" s="44" t="str">
        <f>IFERROR(((#REF!*H73)*0.02),"")</f>
        <v/>
      </c>
      <c r="S73" s="16" t="str">
        <f>IFERROR((Q73-#REF!-R73),"")</f>
        <v/>
      </c>
    </row>
    <row r="74" spans="10:19">
      <c r="J74" s="45" t="str">
        <f>IFERROR((#REF!/H74),"")</f>
        <v/>
      </c>
      <c r="L74" s="16" t="str">
        <f>IFERROR(((#REF!*A74)*0.02),"")</f>
        <v/>
      </c>
      <c r="M74" s="51"/>
      <c r="Q74" s="46" t="str">
        <f>IFERROR(((#REF!*H74)-#REF!),"")</f>
        <v/>
      </c>
      <c r="R74" s="44" t="str">
        <f>IFERROR(((#REF!*H74)*0.02),"")</f>
        <v/>
      </c>
      <c r="S74" s="16" t="str">
        <f>IFERROR((Q74-#REF!-R74),"")</f>
        <v/>
      </c>
    </row>
    <row r="75" spans="10:19">
      <c r="J75" s="45" t="str">
        <f>IFERROR((#REF!/H75),"")</f>
        <v/>
      </c>
      <c r="L75" s="16" t="str">
        <f>IFERROR(((#REF!*A75)*0.02),"")</f>
        <v/>
      </c>
      <c r="M75" s="51"/>
      <c r="Q75" s="46" t="str">
        <f>IFERROR(((#REF!*H75)-#REF!),"")</f>
        <v/>
      </c>
      <c r="R75" s="44" t="str">
        <f>IFERROR(((#REF!*H75)*0.02),"")</f>
        <v/>
      </c>
      <c r="S75" s="16" t="str">
        <f>IFERROR((Q75-#REF!-R75),"")</f>
        <v/>
      </c>
    </row>
    <row r="76" spans="10:19">
      <c r="J76" s="45" t="str">
        <f>IFERROR((#REF!/H76),"")</f>
        <v/>
      </c>
      <c r="L76" s="16" t="str">
        <f>IFERROR(((#REF!*A76)*0.02),"")</f>
        <v/>
      </c>
      <c r="M76" s="51"/>
      <c r="Q76" s="46" t="str">
        <f>IFERROR(((#REF!*H76)-#REF!),"")</f>
        <v/>
      </c>
      <c r="R76" s="44" t="str">
        <f>IFERROR(((#REF!*H76)*0.02),"")</f>
        <v/>
      </c>
      <c r="S76" s="16" t="str">
        <f>IFERROR((Q76-#REF!-R76),"")</f>
        <v/>
      </c>
    </row>
    <row r="77" spans="10:19">
      <c r="J77" s="45" t="str">
        <f>IFERROR((#REF!/H77),"")</f>
        <v/>
      </c>
      <c r="L77" s="16" t="str">
        <f>IFERROR(((#REF!*A77)*0.02),"")</f>
        <v/>
      </c>
      <c r="M77" s="51"/>
      <c r="Q77" s="46" t="str">
        <f>IFERROR(((#REF!*H77)-#REF!),"")</f>
        <v/>
      </c>
      <c r="R77" s="44" t="str">
        <f>IFERROR(((#REF!*H77)*0.02),"")</f>
        <v/>
      </c>
      <c r="S77" s="16" t="str">
        <f>IFERROR((Q77-#REF!-R77),"")</f>
        <v/>
      </c>
    </row>
    <row r="78" spans="10:19">
      <c r="J78" s="45" t="str">
        <f>IFERROR((#REF!/H78),"")</f>
        <v/>
      </c>
      <c r="L78" s="16" t="str">
        <f>IFERROR(((#REF!*A78)*0.02),"")</f>
        <v/>
      </c>
      <c r="M78" s="51"/>
      <c r="Q78" s="46" t="str">
        <f>IFERROR(((#REF!*H78)-#REF!),"")</f>
        <v/>
      </c>
      <c r="R78" s="44" t="str">
        <f>IFERROR(((#REF!*H78)*0.02),"")</f>
        <v/>
      </c>
      <c r="S78" s="16" t="str">
        <f>IFERROR((Q78-#REF!-R78),"")</f>
        <v/>
      </c>
    </row>
    <row r="79" spans="10:19">
      <c r="J79" s="45" t="str">
        <f>IFERROR((#REF!/H79),"")</f>
        <v/>
      </c>
      <c r="L79" s="16" t="str">
        <f>IFERROR(((#REF!*A79)*0.02),"")</f>
        <v/>
      </c>
      <c r="M79" s="51"/>
      <c r="Q79" s="46" t="str">
        <f>IFERROR(((#REF!*H79)-#REF!),"")</f>
        <v/>
      </c>
      <c r="R79" s="44" t="str">
        <f>IFERROR(((#REF!*H79)*0.02),"")</f>
        <v/>
      </c>
      <c r="S79" s="16" t="str">
        <f>IFERROR((Q79-#REF!-R79),"")</f>
        <v/>
      </c>
    </row>
    <row r="80" spans="10:19">
      <c r="J80" s="45" t="str">
        <f>IFERROR((#REF!/H80),"")</f>
        <v/>
      </c>
      <c r="L80" s="16" t="str">
        <f>IFERROR(((#REF!*A80)*0.02),"")</f>
        <v/>
      </c>
      <c r="M80" s="51"/>
      <c r="Q80" s="46" t="str">
        <f>IFERROR(((#REF!*H80)-#REF!),"")</f>
        <v/>
      </c>
      <c r="R80" s="44" t="str">
        <f>IFERROR(((#REF!*H80)*0.02),"")</f>
        <v/>
      </c>
      <c r="S80" s="16" t="str">
        <f>IFERROR((Q80-#REF!-R80),"")</f>
        <v/>
      </c>
    </row>
    <row r="81" spans="10:19">
      <c r="J81" s="45" t="str">
        <f>IFERROR((#REF!/H81),"")</f>
        <v/>
      </c>
      <c r="L81" s="16" t="str">
        <f>IFERROR(((#REF!*A81)*0.02),"")</f>
        <v/>
      </c>
      <c r="M81" s="51"/>
      <c r="Q81" s="46" t="str">
        <f>IFERROR(((#REF!*H81)-#REF!),"")</f>
        <v/>
      </c>
      <c r="R81" s="44" t="str">
        <f>IFERROR(((#REF!*H81)*0.02),"")</f>
        <v/>
      </c>
      <c r="S81" s="16" t="str">
        <f>IFERROR((Q81-#REF!-R81),"")</f>
        <v/>
      </c>
    </row>
    <row r="82" spans="10:19">
      <c r="J82" s="45" t="str">
        <f>IFERROR((#REF!/H82),"")</f>
        <v/>
      </c>
      <c r="L82" s="16" t="str">
        <f>IFERROR(((#REF!*A82)*0.02),"")</f>
        <v/>
      </c>
      <c r="M82" s="51"/>
      <c r="Q82" s="46" t="str">
        <f>IFERROR(((#REF!*H82)-#REF!),"")</f>
        <v/>
      </c>
      <c r="R82" s="44" t="str">
        <f>IFERROR(((#REF!*H82)*0.02),"")</f>
        <v/>
      </c>
      <c r="S82" s="16" t="str">
        <f>IFERROR((Q82-#REF!-R82),"")</f>
        <v/>
      </c>
    </row>
    <row r="83" spans="10:19">
      <c r="J83" s="45" t="str">
        <f>IFERROR((#REF!/H83),"")</f>
        <v/>
      </c>
      <c r="L83" s="16" t="str">
        <f>IFERROR(((#REF!*A83)*0.02),"")</f>
        <v/>
      </c>
      <c r="M83" s="51"/>
      <c r="Q83" s="46" t="str">
        <f>IFERROR(((#REF!*H83)-#REF!),"")</f>
        <v/>
      </c>
      <c r="R83" s="44" t="str">
        <f>IFERROR(((#REF!*H83)*0.02),"")</f>
        <v/>
      </c>
      <c r="S83" s="16" t="str">
        <f>IFERROR((Q83-#REF!-R83),"")</f>
        <v/>
      </c>
    </row>
    <row r="84" spans="10:19">
      <c r="J84" s="45" t="str">
        <f>IFERROR((#REF!/H84),"")</f>
        <v/>
      </c>
      <c r="L84" s="16" t="str">
        <f>IFERROR(((#REF!*A84)*0.02),"")</f>
        <v/>
      </c>
      <c r="M84" s="51"/>
      <c r="Q84" s="46" t="str">
        <f>IFERROR(((#REF!*H84)-#REF!),"")</f>
        <v/>
      </c>
      <c r="R84" s="44" t="str">
        <f>IFERROR(((#REF!*H84)*0.02),"")</f>
        <v/>
      </c>
      <c r="S84" s="16" t="str">
        <f>IFERROR((Q84-#REF!-R84),"")</f>
        <v/>
      </c>
    </row>
    <row r="85" spans="10:19">
      <c r="J85" s="45" t="str">
        <f>IFERROR((#REF!/H85),"")</f>
        <v/>
      </c>
      <c r="L85" s="16" t="str">
        <f>IFERROR(((#REF!*A85)*0.02),"")</f>
        <v/>
      </c>
      <c r="M85" s="51"/>
      <c r="Q85" s="46" t="str">
        <f>IFERROR(((#REF!*H85)-#REF!),"")</f>
        <v/>
      </c>
      <c r="R85" s="44" t="str">
        <f>IFERROR(((#REF!*H85)*0.02),"")</f>
        <v/>
      </c>
      <c r="S85" s="16" t="str">
        <f>IFERROR((Q85-#REF!-R85),"")</f>
        <v/>
      </c>
    </row>
    <row r="86" spans="10:19">
      <c r="J86" s="45" t="str">
        <f>IFERROR((#REF!/H86),"")</f>
        <v/>
      </c>
      <c r="L86" s="16" t="str">
        <f>IFERROR(((#REF!*A86)*0.02),"")</f>
        <v/>
      </c>
      <c r="M86" s="51"/>
      <c r="Q86" s="46" t="str">
        <f>IFERROR(((#REF!*H86)-#REF!),"")</f>
        <v/>
      </c>
      <c r="R86" s="44" t="str">
        <f>IFERROR(((#REF!*H86)*0.02),"")</f>
        <v/>
      </c>
      <c r="S86" s="16" t="str">
        <f>IFERROR((Q86-#REF!-R86),"")</f>
        <v/>
      </c>
    </row>
    <row r="87" spans="10:19">
      <c r="J87" s="45" t="str">
        <f>IFERROR((#REF!/H87),"")</f>
        <v/>
      </c>
      <c r="L87" s="16" t="str">
        <f>IFERROR(((#REF!*A87)*0.02),"")</f>
        <v/>
      </c>
      <c r="M87" s="51"/>
      <c r="Q87" s="46" t="str">
        <f>IFERROR(((#REF!*H87)-#REF!),"")</f>
        <v/>
      </c>
      <c r="R87" s="44" t="str">
        <f>IFERROR(((#REF!*H87)*0.02),"")</f>
        <v/>
      </c>
      <c r="S87" s="16" t="str">
        <f>IFERROR((Q87-#REF!-R87),"")</f>
        <v/>
      </c>
    </row>
    <row r="88" spans="10:19">
      <c r="J88" s="45" t="str">
        <f>IFERROR((#REF!/H88),"")</f>
        <v/>
      </c>
      <c r="L88" s="16" t="str">
        <f>IFERROR(((#REF!*A88)*0.02),"")</f>
        <v/>
      </c>
      <c r="M88" s="51"/>
      <c r="Q88" s="46" t="str">
        <f>IFERROR(((#REF!*H88)-#REF!),"")</f>
        <v/>
      </c>
      <c r="R88" s="44" t="str">
        <f>IFERROR(((#REF!*H88)*0.02),"")</f>
        <v/>
      </c>
      <c r="S88" s="16" t="str">
        <f>IFERROR((Q88-#REF!-R88),"")</f>
        <v/>
      </c>
    </row>
    <row r="89" spans="10:19">
      <c r="J89" s="45" t="str">
        <f>IFERROR((#REF!/H89),"")</f>
        <v/>
      </c>
      <c r="L89" s="16" t="str">
        <f>IFERROR(((#REF!*A89)*0.02),"")</f>
        <v/>
      </c>
      <c r="M89" s="51"/>
      <c r="Q89" s="46" t="str">
        <f>IFERROR(((#REF!*H89)-#REF!),"")</f>
        <v/>
      </c>
      <c r="R89" s="44" t="str">
        <f>IFERROR(((#REF!*H89)*0.02),"")</f>
        <v/>
      </c>
      <c r="S89" s="16" t="str">
        <f>IFERROR((Q89-#REF!-R89),"")</f>
        <v/>
      </c>
    </row>
    <row r="90" spans="10:19">
      <c r="J90" s="45" t="str">
        <f>IFERROR((#REF!/H90),"")</f>
        <v/>
      </c>
      <c r="L90" s="16" t="str">
        <f>IFERROR(((#REF!*A90)*0.02),"")</f>
        <v/>
      </c>
      <c r="M90" s="51"/>
      <c r="Q90" s="46" t="str">
        <f>IFERROR(((#REF!*H90)-#REF!),"")</f>
        <v/>
      </c>
      <c r="R90" s="44" t="str">
        <f>IFERROR(((#REF!*H90)*0.02),"")</f>
        <v/>
      </c>
      <c r="S90" s="16" t="str">
        <f>IFERROR((Q90-#REF!-R90),"")</f>
        <v/>
      </c>
    </row>
    <row r="91" spans="10:19">
      <c r="J91" s="45" t="str">
        <f>IFERROR((#REF!/H91),"")</f>
        <v/>
      </c>
      <c r="L91" s="16" t="str">
        <f>IFERROR(((#REF!*A91)*0.02),"")</f>
        <v/>
      </c>
      <c r="M91" s="51"/>
      <c r="Q91" s="46" t="str">
        <f>IFERROR(((#REF!*H91)-#REF!),"")</f>
        <v/>
      </c>
      <c r="R91" s="44" t="str">
        <f>IFERROR(((#REF!*H91)*0.02),"")</f>
        <v/>
      </c>
      <c r="S91" s="16" t="str">
        <f>IFERROR((Q91-#REF!-R91),"")</f>
        <v/>
      </c>
    </row>
    <row r="92" spans="10:19">
      <c r="J92" s="45" t="str">
        <f>IFERROR((#REF!/H92),"")</f>
        <v/>
      </c>
      <c r="L92" s="16" t="str">
        <f>IFERROR(((#REF!*A92)*0.02),"")</f>
        <v/>
      </c>
      <c r="M92" s="51"/>
      <c r="Q92" s="46" t="str">
        <f>IFERROR(((#REF!*H92)-#REF!),"")</f>
        <v/>
      </c>
      <c r="R92" s="44" t="str">
        <f>IFERROR(((#REF!*H92)*0.02),"")</f>
        <v/>
      </c>
      <c r="S92" s="16" t="str">
        <f>IFERROR((Q92-#REF!-R92),"")</f>
        <v/>
      </c>
    </row>
    <row r="93" spans="10:19">
      <c r="J93" s="45" t="str">
        <f>IFERROR((#REF!/H93),"")</f>
        <v/>
      </c>
      <c r="L93" s="16" t="str">
        <f>IFERROR(((#REF!*A93)*0.02),"")</f>
        <v/>
      </c>
      <c r="M93" s="51"/>
      <c r="Q93" s="46" t="str">
        <f>IFERROR(((#REF!*H93)-#REF!),"")</f>
        <v/>
      </c>
      <c r="R93" s="44" t="str">
        <f>IFERROR(((#REF!*H93)*0.02),"")</f>
        <v/>
      </c>
      <c r="S93" s="16" t="str">
        <f>IFERROR((Q93-#REF!-R93),"")</f>
        <v/>
      </c>
    </row>
    <row r="94" spans="10:19">
      <c r="J94" s="45" t="str">
        <f>IFERROR((#REF!/H94),"")</f>
        <v/>
      </c>
      <c r="L94" s="16" t="str">
        <f>IFERROR(((#REF!*A94)*0.02),"")</f>
        <v/>
      </c>
      <c r="M94" s="51"/>
      <c r="Q94" s="46" t="str">
        <f>IFERROR(((#REF!*H94)-#REF!),"")</f>
        <v/>
      </c>
      <c r="R94" s="44" t="str">
        <f>IFERROR(((#REF!*H94)*0.02),"")</f>
        <v/>
      </c>
      <c r="S94" s="16" t="str">
        <f>IFERROR((Q94-#REF!-R94),"")</f>
        <v/>
      </c>
    </row>
    <row r="95" spans="10:19">
      <c r="J95" s="45" t="str">
        <f>IFERROR((#REF!/H95),"")</f>
        <v/>
      </c>
      <c r="L95" s="16" t="str">
        <f>IFERROR(((#REF!*A95)*0.02),"")</f>
        <v/>
      </c>
      <c r="M95" s="51"/>
      <c r="Q95" s="46" t="str">
        <f>IFERROR(((#REF!*H95)-#REF!),"")</f>
        <v/>
      </c>
      <c r="R95" s="44" t="str">
        <f>IFERROR(((#REF!*H95)*0.02),"")</f>
        <v/>
      </c>
      <c r="S95" s="16" t="str">
        <f>IFERROR((Q95-#REF!-R95),"")</f>
        <v/>
      </c>
    </row>
    <row r="96" spans="10:19">
      <c r="J96" s="45" t="str">
        <f>IFERROR((#REF!/H96),"")</f>
        <v/>
      </c>
      <c r="L96" s="16" t="str">
        <f>IFERROR(((#REF!*A96)*0.02),"")</f>
        <v/>
      </c>
      <c r="M96" s="51"/>
      <c r="Q96" s="46" t="str">
        <f>IFERROR(((#REF!*H96)-#REF!),"")</f>
        <v/>
      </c>
      <c r="R96" s="44" t="str">
        <f>IFERROR(((#REF!*H96)*0.02),"")</f>
        <v/>
      </c>
      <c r="S96" s="16" t="str">
        <f>IFERROR((Q96-#REF!-R96),"")</f>
        <v/>
      </c>
    </row>
    <row r="97" spans="10:19">
      <c r="J97" s="45" t="str">
        <f>IFERROR((#REF!/H97),"")</f>
        <v/>
      </c>
      <c r="L97" s="16" t="str">
        <f>IFERROR(((#REF!*A97)*0.02),"")</f>
        <v/>
      </c>
      <c r="M97" s="51"/>
      <c r="Q97" s="46" t="str">
        <f>IFERROR(((#REF!*H97)-#REF!),"")</f>
        <v/>
      </c>
      <c r="R97" s="44" t="str">
        <f>IFERROR(((#REF!*H97)*0.02),"")</f>
        <v/>
      </c>
      <c r="S97" s="16" t="str">
        <f>IFERROR((Q97-#REF!-R97),"")</f>
        <v/>
      </c>
    </row>
    <row r="98" spans="10:19">
      <c r="J98" s="45" t="str">
        <f>IFERROR((#REF!/H98),"")</f>
        <v/>
      </c>
      <c r="L98" s="16" t="str">
        <f>IFERROR(((#REF!*A98)*0.02),"")</f>
        <v/>
      </c>
      <c r="M98" s="51"/>
      <c r="Q98" s="46" t="str">
        <f>IFERROR(((#REF!*H98)-#REF!),"")</f>
        <v/>
      </c>
      <c r="R98" s="44" t="str">
        <f>IFERROR(((#REF!*H98)*0.02),"")</f>
        <v/>
      </c>
      <c r="S98" s="16" t="str">
        <f>IFERROR((Q98-#REF!-R98),"")</f>
        <v/>
      </c>
    </row>
    <row r="99" spans="10:19">
      <c r="J99" s="45" t="str">
        <f>IFERROR((#REF!/H99),"")</f>
        <v/>
      </c>
      <c r="L99" s="16" t="str">
        <f>IFERROR(((#REF!*A99)*0.02),"")</f>
        <v/>
      </c>
      <c r="M99" s="51"/>
      <c r="Q99" s="46" t="str">
        <f>IFERROR(((#REF!*H99)-#REF!),"")</f>
        <v/>
      </c>
      <c r="R99" s="44" t="str">
        <f>IFERROR(((#REF!*H99)*0.02),"")</f>
        <v/>
      </c>
      <c r="S99" s="16" t="str">
        <f>IFERROR((Q99-#REF!-R99),"")</f>
        <v/>
      </c>
    </row>
    <row r="100" spans="10:19">
      <c r="J100" s="45" t="str">
        <f>IFERROR((#REF!/H100),"")</f>
        <v/>
      </c>
      <c r="L100" s="16" t="str">
        <f>IFERROR(((#REF!*A100)*0.02),"")</f>
        <v/>
      </c>
      <c r="M100" s="51"/>
      <c r="Q100" s="46" t="str">
        <f>IFERROR(((#REF!*H100)-#REF!),"")</f>
        <v/>
      </c>
      <c r="R100" s="44" t="str">
        <f>IFERROR(((#REF!*H100)*0.02),"")</f>
        <v/>
      </c>
      <c r="S100" s="16" t="str">
        <f>IFERROR((Q100-#REF!-R100),"")</f>
        <v/>
      </c>
    </row>
    <row r="101" spans="10:19">
      <c r="J101" s="45" t="str">
        <f>IFERROR((#REF!/H101),"")</f>
        <v/>
      </c>
      <c r="L101" s="16" t="str">
        <f>IFERROR(((#REF!*A101)*0.02),"")</f>
        <v/>
      </c>
      <c r="M101" s="51"/>
      <c r="Q101" s="46" t="str">
        <f>IFERROR(((#REF!*H101)-#REF!),"")</f>
        <v/>
      </c>
      <c r="R101" s="44" t="str">
        <f>IFERROR(((#REF!*H101)*0.02),"")</f>
        <v/>
      </c>
      <c r="S101" s="16" t="str">
        <f>IFERROR((Q101-#REF!-R101),"")</f>
        <v/>
      </c>
    </row>
    <row r="102" spans="10:19">
      <c r="J102" s="45" t="str">
        <f>IFERROR((#REF!/H102),"")</f>
        <v/>
      </c>
      <c r="L102" s="16" t="str">
        <f>IFERROR(((#REF!*A102)*0.02),"")</f>
        <v/>
      </c>
      <c r="M102" s="51"/>
      <c r="Q102" s="46" t="str">
        <f>IFERROR(((#REF!*H102)-#REF!),"")</f>
        <v/>
      </c>
      <c r="R102" s="44" t="str">
        <f>IFERROR(((#REF!*H102)*0.02),"")</f>
        <v/>
      </c>
      <c r="S102" s="16" t="str">
        <f>IFERROR((Q102-#REF!-R102),"")</f>
        <v/>
      </c>
    </row>
    <row r="103" spans="10:19">
      <c r="J103" s="45" t="str">
        <f>IFERROR((#REF!/H103),"")</f>
        <v/>
      </c>
      <c r="L103" s="16" t="str">
        <f>IFERROR(((#REF!*A103)*0.02),"")</f>
        <v/>
      </c>
      <c r="M103" s="51"/>
      <c r="Q103" s="46" t="str">
        <f>IFERROR(((#REF!*H103)-#REF!),"")</f>
        <v/>
      </c>
      <c r="R103" s="44" t="str">
        <f>IFERROR(((#REF!*H103)*0.02),"")</f>
        <v/>
      </c>
      <c r="S103" s="16" t="str">
        <f>IFERROR((Q103-#REF!-R103),"")</f>
        <v/>
      </c>
    </row>
    <row r="104" spans="10:19">
      <c r="J104" s="45" t="str">
        <f>IFERROR((#REF!/H104),"")</f>
        <v/>
      </c>
      <c r="L104" s="16" t="str">
        <f>IFERROR(((#REF!*A104)*0.02),"")</f>
        <v/>
      </c>
      <c r="M104" s="51"/>
      <c r="Q104" s="46" t="str">
        <f>IFERROR(((#REF!*H104)-#REF!),"")</f>
        <v/>
      </c>
      <c r="S104" s="16" t="str">
        <f>IFERROR((Q104-#REF!-R104),"")</f>
        <v/>
      </c>
    </row>
    <row r="105" spans="10:19">
      <c r="J105" s="45" t="str">
        <f>IFERROR((#REF!/H105),"")</f>
        <v/>
      </c>
      <c r="L105" s="16" t="str">
        <f>IFERROR(((#REF!*A105)*0.02),"")</f>
        <v/>
      </c>
      <c r="M105" s="51"/>
      <c r="Q105" s="46" t="str">
        <f>IFERROR(((#REF!*H105)-#REF!),"")</f>
        <v/>
      </c>
      <c r="S105" s="16" t="str">
        <f>IFERROR((Q105-#REF!-R105),"")</f>
        <v/>
      </c>
    </row>
    <row r="106" spans="10:19">
      <c r="J106" s="45" t="str">
        <f>IFERROR((#REF!/H106),"")</f>
        <v/>
      </c>
      <c r="L106" s="16" t="str">
        <f>IFERROR(((#REF!*A106)*0.02),"")</f>
        <v/>
      </c>
      <c r="M106" s="51"/>
      <c r="Q106" s="46" t="str">
        <f>IFERROR(((#REF!*H106)-#REF!),"")</f>
        <v/>
      </c>
      <c r="S106" s="16" t="str">
        <f>IFERROR((Q106-#REF!-R106),"")</f>
        <v/>
      </c>
    </row>
    <row r="107" spans="10:19">
      <c r="J107" s="45" t="str">
        <f>IFERROR((#REF!/H107),"")</f>
        <v/>
      </c>
      <c r="L107" s="16" t="str">
        <f>IFERROR(((#REF!*A107)*0.02),"")</f>
        <v/>
      </c>
      <c r="M107" s="51"/>
      <c r="Q107" s="46" t="str">
        <f>IFERROR(((#REF!*H107)-#REF!),"")</f>
        <v/>
      </c>
      <c r="S107" s="16" t="str">
        <f>IFERROR((Q107-#REF!-R107),"")</f>
        <v/>
      </c>
    </row>
    <row r="108" spans="10:19">
      <c r="J108" s="45" t="str">
        <f>IFERROR((#REF!/H108),"")</f>
        <v/>
      </c>
      <c r="L108" s="16" t="str">
        <f>IFERROR(((#REF!*A108)*0.02),"")</f>
        <v/>
      </c>
      <c r="M108" s="51"/>
      <c r="Q108" s="46" t="str">
        <f>IFERROR(((#REF!*H108)-#REF!),"")</f>
        <v/>
      </c>
      <c r="S108" s="16" t="str">
        <f>IFERROR((Q108-#REF!-R108),"")</f>
        <v/>
      </c>
    </row>
    <row r="109" spans="10:19">
      <c r="J109" s="45" t="str">
        <f>IFERROR((#REF!/H109),"")</f>
        <v/>
      </c>
      <c r="L109" s="16" t="str">
        <f>IFERROR(((#REF!*A109)*0.02),"")</f>
        <v/>
      </c>
      <c r="M109" s="51"/>
      <c r="Q109" s="46" t="str">
        <f>IFERROR(((#REF!*H109)-#REF!),"")</f>
        <v/>
      </c>
      <c r="S109" s="16" t="str">
        <f>IFERROR((Q109-#REF!-R109),"")</f>
        <v/>
      </c>
    </row>
    <row r="110" spans="10:19">
      <c r="J110" s="45" t="str">
        <f>IFERROR((#REF!/H110),"")</f>
        <v/>
      </c>
      <c r="L110" s="16" t="str">
        <f>IFERROR(((#REF!*A110)*0.02),"")</f>
        <v/>
      </c>
      <c r="M110" s="51"/>
      <c r="Q110" s="46" t="str">
        <f>IFERROR(((#REF!*H110)-#REF!),"")</f>
        <v/>
      </c>
      <c r="S110" s="16" t="str">
        <f>IFERROR((Q110-#REF!-R110),"")</f>
        <v/>
      </c>
    </row>
    <row r="111" spans="10:19">
      <c r="J111" s="45" t="str">
        <f>IFERROR((#REF!/H111),"")</f>
        <v/>
      </c>
      <c r="L111" s="16" t="str">
        <f>IFERROR(((#REF!*A111)*0.02),"")</f>
        <v/>
      </c>
      <c r="M111" s="51"/>
      <c r="Q111" s="46" t="str">
        <f>IFERROR(((#REF!*H111)-#REF!),"")</f>
        <v/>
      </c>
      <c r="S111" s="16" t="str">
        <f>IFERROR((Q111-#REF!-R111),"")</f>
        <v/>
      </c>
    </row>
    <row r="112" spans="10:19">
      <c r="J112" s="45" t="str">
        <f>IFERROR((#REF!/H112),"")</f>
        <v/>
      </c>
      <c r="L112" s="16" t="str">
        <f>IFERROR(((#REF!*A112)*0.02),"")</f>
        <v/>
      </c>
      <c r="M112" s="51"/>
      <c r="Q112" s="46" t="str">
        <f>IFERROR(((#REF!*H112)-#REF!),"")</f>
        <v/>
      </c>
      <c r="S112" s="16" t="str">
        <f>IFERROR((Q112-#REF!-R112),"")</f>
        <v/>
      </c>
    </row>
    <row r="113" spans="10:19">
      <c r="J113" s="45" t="str">
        <f>IFERROR((#REF!/H113),"")</f>
        <v/>
      </c>
      <c r="L113" s="16" t="str">
        <f>IFERROR(((#REF!*A113)*0.02),"")</f>
        <v/>
      </c>
      <c r="M113" s="51"/>
      <c r="Q113" s="46" t="str">
        <f>IFERROR(((#REF!*H113)-#REF!),"")</f>
        <v/>
      </c>
      <c r="S113" s="16" t="str">
        <f>IFERROR((Q113-#REF!-R113),"")</f>
        <v/>
      </c>
    </row>
    <row r="114" spans="10:19">
      <c r="J114" s="45" t="str">
        <f>IFERROR((#REF!/H114),"")</f>
        <v/>
      </c>
      <c r="L114" s="16" t="str">
        <f>IFERROR(((#REF!*A114)*0.02),"")</f>
        <v/>
      </c>
      <c r="M114" s="51"/>
      <c r="Q114" s="46" t="str">
        <f>IFERROR(((#REF!*H114)-#REF!),"")</f>
        <v/>
      </c>
      <c r="S114" s="16" t="str">
        <f>IFERROR((Q114-#REF!-R114),"")</f>
        <v/>
      </c>
    </row>
    <row r="115" spans="10:19">
      <c r="J115" s="45" t="str">
        <f>IFERROR((#REF!/H115),"")</f>
        <v/>
      </c>
      <c r="L115" s="16" t="str">
        <f>IFERROR(((#REF!*A115)*0.02),"")</f>
        <v/>
      </c>
      <c r="M115" s="51"/>
      <c r="Q115" s="46" t="str">
        <f>IFERROR(((#REF!*H115)-#REF!),"")</f>
        <v/>
      </c>
      <c r="S115" s="16" t="str">
        <f>IFERROR((Q115-#REF!-R115),"")</f>
        <v/>
      </c>
    </row>
    <row r="116" spans="10:19">
      <c r="J116" s="45" t="str">
        <f>IFERROR((#REF!/H116),"")</f>
        <v/>
      </c>
      <c r="L116" s="16" t="str">
        <f>IFERROR(((#REF!*A116)*0.02),"")</f>
        <v/>
      </c>
      <c r="M116" s="51"/>
      <c r="Q116" s="46" t="str">
        <f>IFERROR(((#REF!*H116)-#REF!),"")</f>
        <v/>
      </c>
      <c r="S116" s="16" t="str">
        <f>IFERROR((Q116-#REF!-R116),"")</f>
        <v/>
      </c>
    </row>
    <row r="117" spans="10:19">
      <c r="J117" s="45" t="str">
        <f>IFERROR((#REF!/H117),"")</f>
        <v/>
      </c>
      <c r="L117" s="16" t="str">
        <f>IFERROR(((#REF!*A117)*0.02),"")</f>
        <v/>
      </c>
      <c r="M117" s="51"/>
      <c r="Q117" s="46" t="str">
        <f>IFERROR(((#REF!*H117)-#REF!),"")</f>
        <v/>
      </c>
      <c r="S117" s="16" t="str">
        <f>IFERROR((Q117-#REF!-R117),"")</f>
        <v/>
      </c>
    </row>
    <row r="118" spans="10:19">
      <c r="J118" s="45" t="str">
        <f>IFERROR((#REF!/H118),"")</f>
        <v/>
      </c>
      <c r="L118" s="16" t="str">
        <f>IFERROR(((#REF!*A118)*0.02),"")</f>
        <v/>
      </c>
      <c r="M118" s="51"/>
      <c r="Q118" s="46" t="str">
        <f>IFERROR(((#REF!*H118)-#REF!),"")</f>
        <v/>
      </c>
      <c r="S118" s="16" t="str">
        <f>IFERROR((Q118-#REF!-R118),"")</f>
        <v/>
      </c>
    </row>
    <row r="119" spans="10:19">
      <c r="J119" s="45" t="str">
        <f>IFERROR((#REF!/H119),"")</f>
        <v/>
      </c>
      <c r="L119" s="16" t="str">
        <f>IFERROR(((#REF!*A119)*0.02),"")</f>
        <v/>
      </c>
      <c r="M119" s="51"/>
      <c r="Q119" s="46" t="str">
        <f>IFERROR(((#REF!*H119)-#REF!),"")</f>
        <v/>
      </c>
      <c r="S119" s="16" t="str">
        <f>IFERROR((Q119-#REF!-R119),"")</f>
        <v/>
      </c>
    </row>
    <row r="120" spans="10:19">
      <c r="J120" s="45" t="str">
        <f>IFERROR((#REF!/H120),"")</f>
        <v/>
      </c>
      <c r="L120" s="16" t="str">
        <f>IFERROR(((#REF!*A120)*0.02),"")</f>
        <v/>
      </c>
      <c r="M120" s="51"/>
      <c r="Q120" s="46" t="str">
        <f>IFERROR(((#REF!*H120)-#REF!),"")</f>
        <v/>
      </c>
      <c r="S120" s="16" t="str">
        <f>IFERROR((Q120-#REF!-R120),"")</f>
        <v/>
      </c>
    </row>
    <row r="121" spans="10:19">
      <c r="J121" s="45" t="str">
        <f>IFERROR((#REF!/H121),"")</f>
        <v/>
      </c>
      <c r="L121" s="16" t="str">
        <f>IFERROR(((#REF!*A121)*0.02),"")</f>
        <v/>
      </c>
      <c r="M121" s="51"/>
      <c r="Q121" s="46" t="str">
        <f>IFERROR(((#REF!*H121)-#REF!),"")</f>
        <v/>
      </c>
      <c r="S121" s="16" t="str">
        <f>IFERROR((Q121-#REF!-R121),"")</f>
        <v/>
      </c>
    </row>
    <row r="122" spans="10:19">
      <c r="J122" s="45" t="str">
        <f>IFERROR((#REF!/H122),"")</f>
        <v/>
      </c>
      <c r="L122" s="16" t="str">
        <f>IFERROR(((#REF!*A122)*0.02),"")</f>
        <v/>
      </c>
      <c r="M122" s="51"/>
      <c r="Q122" s="46" t="str">
        <f>IFERROR(((#REF!*H122)-#REF!),"")</f>
        <v/>
      </c>
      <c r="S122" s="16" t="str">
        <f>IFERROR((Q122-#REF!-R122),"")</f>
        <v/>
      </c>
    </row>
    <row r="123" spans="10:19">
      <c r="J123" s="45" t="str">
        <f>IFERROR((#REF!/H123),"")</f>
        <v/>
      </c>
      <c r="L123" s="16" t="str">
        <f>IFERROR(((#REF!*A123)*0.02),"")</f>
        <v/>
      </c>
      <c r="M123" s="51"/>
      <c r="Q123" s="46" t="str">
        <f>IFERROR(((#REF!*H123)-#REF!),"")</f>
        <v/>
      </c>
      <c r="S123" s="16" t="str">
        <f>IFERROR((Q123-#REF!-R123),"")</f>
        <v/>
      </c>
    </row>
    <row r="124" spans="10:19">
      <c r="J124" s="45" t="str">
        <f>IFERROR((#REF!/H124),"")</f>
        <v/>
      </c>
      <c r="L124" s="16" t="str">
        <f>IFERROR(((#REF!*A124)*0.02),"")</f>
        <v/>
      </c>
      <c r="M124" s="51"/>
      <c r="Q124" s="46" t="str">
        <f>IFERROR(((#REF!*H124)-#REF!),"")</f>
        <v/>
      </c>
      <c r="S124" s="16" t="str">
        <f>IFERROR((Q124-#REF!-R124),"")</f>
        <v/>
      </c>
    </row>
    <row r="125" spans="10:19">
      <c r="J125" s="45" t="str">
        <f>IFERROR((#REF!/H125),"")</f>
        <v/>
      </c>
      <c r="L125" s="16" t="str">
        <f>IFERROR(((#REF!*A125)*0.02),"")</f>
        <v/>
      </c>
      <c r="M125" s="51"/>
      <c r="Q125" s="46" t="str">
        <f>IFERROR(((#REF!*H125)-#REF!),"")</f>
        <v/>
      </c>
      <c r="S125" s="16" t="str">
        <f>IFERROR((Q125-#REF!-R125),"")</f>
        <v/>
      </c>
    </row>
    <row r="126" spans="10:19">
      <c r="J126" s="45" t="str">
        <f>IFERROR((#REF!/H126),"")</f>
        <v/>
      </c>
      <c r="L126" s="16" t="str">
        <f>IFERROR(((#REF!*A126)*0.02),"")</f>
        <v/>
      </c>
      <c r="M126" s="51"/>
      <c r="Q126" s="46" t="str">
        <f>IFERROR(((#REF!*H126)-#REF!),"")</f>
        <v/>
      </c>
      <c r="S126" s="16" t="str">
        <f>IFERROR((Q126-#REF!-R126),"")</f>
        <v/>
      </c>
    </row>
    <row r="127" spans="10:19">
      <c r="J127" s="45" t="str">
        <f>IFERROR((#REF!/H127),"")</f>
        <v/>
      </c>
      <c r="L127" s="16" t="str">
        <f>IFERROR(((#REF!*A127)*0.02),"")</f>
        <v/>
      </c>
      <c r="M127" s="51"/>
      <c r="Q127" s="46" t="str">
        <f>IFERROR(((#REF!*H127)-#REF!),"")</f>
        <v/>
      </c>
      <c r="S127" s="16" t="str">
        <f>IFERROR((Q127-#REF!-R127),"")</f>
        <v/>
      </c>
    </row>
    <row r="128" spans="10:19">
      <c r="J128" s="45" t="str">
        <f>IFERROR((#REF!/H128),"")</f>
        <v/>
      </c>
      <c r="L128" s="16" t="str">
        <f>IFERROR(((#REF!*A128)*0.02),"")</f>
        <v/>
      </c>
      <c r="M128" s="51"/>
      <c r="Q128" s="46" t="str">
        <f>IFERROR(((#REF!*H128)-#REF!),"")</f>
        <v/>
      </c>
      <c r="S128" s="16" t="str">
        <f>IFERROR((Q128-#REF!-R128),"")</f>
        <v/>
      </c>
    </row>
    <row r="129" spans="10:19">
      <c r="J129" s="45" t="str">
        <f>IFERROR((#REF!/H129),"")</f>
        <v/>
      </c>
      <c r="L129" s="16" t="str">
        <f>IFERROR(((#REF!*A129)*0.02),"")</f>
        <v/>
      </c>
      <c r="M129" s="51"/>
      <c r="Q129" s="46" t="str">
        <f>IFERROR(((#REF!*H129)-#REF!),"")</f>
        <v/>
      </c>
      <c r="S129" s="16" t="str">
        <f>IFERROR((Q129-#REF!-R129),"")</f>
        <v/>
      </c>
    </row>
    <row r="130" spans="10:19">
      <c r="J130" s="45" t="str">
        <f>IFERROR((#REF!/H130),"")</f>
        <v/>
      </c>
      <c r="L130" s="16" t="str">
        <f>IFERROR(((#REF!*A130)*0.02),"")</f>
        <v/>
      </c>
      <c r="M130" s="51"/>
      <c r="Q130" s="46" t="str">
        <f>IFERROR(((#REF!*H130)-#REF!),"")</f>
        <v/>
      </c>
      <c r="S130" s="16" t="str">
        <f>IFERROR((Q130-#REF!-R130),"")</f>
        <v/>
      </c>
    </row>
    <row r="131" spans="10:19">
      <c r="J131" s="45" t="str">
        <f>IFERROR((#REF!/H131),"")</f>
        <v/>
      </c>
      <c r="L131" s="16" t="str">
        <f>IFERROR(((#REF!*A131)*0.02),"")</f>
        <v/>
      </c>
      <c r="M131" s="51"/>
      <c r="Q131" s="46" t="str">
        <f>IFERROR(((#REF!*H131)-#REF!),"")</f>
        <v/>
      </c>
      <c r="S131" s="16" t="str">
        <f>IFERROR((Q131-#REF!-R131),"")</f>
        <v/>
      </c>
    </row>
    <row r="132" spans="10:19">
      <c r="J132" s="45" t="str">
        <f>IFERROR((#REF!/H132),"")</f>
        <v/>
      </c>
      <c r="L132" s="16" t="str">
        <f>IFERROR(((#REF!*A132)*0.02),"")</f>
        <v/>
      </c>
      <c r="M132" s="51"/>
      <c r="Q132" s="46" t="str">
        <f>IFERROR(((#REF!*H132)-#REF!),"")</f>
        <v/>
      </c>
      <c r="S132" s="16" t="str">
        <f>IFERROR((Q132-#REF!-R132),"")</f>
        <v/>
      </c>
    </row>
    <row r="133" spans="10:19">
      <c r="J133" s="45" t="str">
        <f>IFERROR((#REF!/H133),"")</f>
        <v/>
      </c>
      <c r="L133" s="16" t="str">
        <f>IFERROR(((#REF!*A133)*0.02),"")</f>
        <v/>
      </c>
      <c r="M133" s="51"/>
      <c r="Q133" s="46" t="str">
        <f>IFERROR(((#REF!*H133)-#REF!),"")</f>
        <v/>
      </c>
      <c r="S133" s="16" t="str">
        <f>IFERROR((Q133-#REF!-R133),"")</f>
        <v/>
      </c>
    </row>
    <row r="134" spans="10:19">
      <c r="J134" s="45" t="str">
        <f>IFERROR((#REF!/H134),"")</f>
        <v/>
      </c>
      <c r="L134" s="16" t="str">
        <f>IFERROR(((#REF!*A134)*0.02),"")</f>
        <v/>
      </c>
      <c r="M134" s="51"/>
      <c r="Q134" s="46" t="str">
        <f>IFERROR(((#REF!*H134)-#REF!),"")</f>
        <v/>
      </c>
      <c r="S134" s="16" t="str">
        <f>IFERROR((Q134-#REF!-R134),"")</f>
        <v/>
      </c>
    </row>
    <row r="135" spans="10:19">
      <c r="J135" s="45" t="str">
        <f>IFERROR((#REF!/H135),"")</f>
        <v/>
      </c>
      <c r="L135" s="16" t="str">
        <f>IFERROR(((#REF!*A135)*0.02),"")</f>
        <v/>
      </c>
      <c r="M135" s="51"/>
      <c r="Q135" s="46" t="str">
        <f>IFERROR(((#REF!*H135)-#REF!),"")</f>
        <v/>
      </c>
      <c r="S135" s="16" t="str">
        <f>IFERROR((Q135-#REF!-R135),"")</f>
        <v/>
      </c>
    </row>
    <row r="136" spans="10:19">
      <c r="J136" s="45" t="str">
        <f>IFERROR((#REF!/H136),"")</f>
        <v/>
      </c>
      <c r="L136" s="16" t="str">
        <f>IFERROR(((#REF!*A136)*0.02),"")</f>
        <v/>
      </c>
      <c r="M136" s="51"/>
      <c r="Q136" s="46" t="str">
        <f>IFERROR(((#REF!*H136)-#REF!),"")</f>
        <v/>
      </c>
      <c r="S136" s="16" t="str">
        <f>IFERROR((Q136-#REF!-R136),"")</f>
        <v/>
      </c>
    </row>
    <row r="137" spans="10:19">
      <c r="J137" s="45" t="str">
        <f>IFERROR((#REF!/H137),"")</f>
        <v/>
      </c>
      <c r="L137" s="16" t="str">
        <f>IFERROR(((#REF!*A137)*0.02),"")</f>
        <v/>
      </c>
      <c r="M137" s="51"/>
      <c r="Q137" s="46" t="str">
        <f>IFERROR(((#REF!*H137)-#REF!),"")</f>
        <v/>
      </c>
      <c r="S137" s="16" t="str">
        <f>IFERROR((Q137-#REF!-R137),"")</f>
        <v/>
      </c>
    </row>
    <row r="138" spans="10:19">
      <c r="J138" s="45" t="str">
        <f>IFERROR((#REF!/H138),"")</f>
        <v/>
      </c>
      <c r="L138" s="16" t="str">
        <f>IFERROR(((#REF!*A138)*0.02),"")</f>
        <v/>
      </c>
      <c r="M138" s="51"/>
      <c r="Q138" s="46" t="str">
        <f>IFERROR(((#REF!*H138)-#REF!),"")</f>
        <v/>
      </c>
      <c r="S138" s="16" t="str">
        <f>IFERROR((Q138-#REF!-R138),"")</f>
        <v/>
      </c>
    </row>
    <row r="139" spans="10:19">
      <c r="J139" s="45" t="str">
        <f>IFERROR((#REF!/H139),"")</f>
        <v/>
      </c>
      <c r="L139" s="16" t="str">
        <f>IFERROR(((#REF!*A139)*0.02),"")</f>
        <v/>
      </c>
      <c r="M139" s="51"/>
      <c r="Q139" s="46" t="str">
        <f>IFERROR(((#REF!*H139)-#REF!),"")</f>
        <v/>
      </c>
      <c r="S139" s="16" t="str">
        <f>IFERROR((Q139-#REF!-R139),"")</f>
        <v/>
      </c>
    </row>
    <row r="140" spans="10:19">
      <c r="J140" s="45" t="str">
        <f>IFERROR((#REF!/H140),"")</f>
        <v/>
      </c>
      <c r="L140" s="16" t="str">
        <f>IFERROR(((#REF!*A140)*0.02),"")</f>
        <v/>
      </c>
      <c r="M140" s="51"/>
      <c r="Q140" s="46" t="str">
        <f>IFERROR(((#REF!*H140)-#REF!),"")</f>
        <v/>
      </c>
      <c r="S140" s="16" t="str">
        <f>IFERROR((Q140-#REF!-R140),"")</f>
        <v/>
      </c>
    </row>
    <row r="141" spans="10:19">
      <c r="J141" s="45" t="str">
        <f>IFERROR((#REF!/H141),"")</f>
        <v/>
      </c>
      <c r="L141" s="16" t="str">
        <f>IFERROR(((#REF!*A141)*0.02),"")</f>
        <v/>
      </c>
      <c r="M141" s="51"/>
      <c r="Q141" s="46" t="str">
        <f>IFERROR(((#REF!*H141)-#REF!),"")</f>
        <v/>
      </c>
      <c r="S141" s="16" t="str">
        <f>IFERROR((Q141-#REF!-R141),"")</f>
        <v/>
      </c>
    </row>
    <row r="142" spans="10:19">
      <c r="J142" s="45" t="str">
        <f>IFERROR((#REF!/H142),"")</f>
        <v/>
      </c>
      <c r="L142" s="16" t="str">
        <f>IFERROR(((#REF!*A142)*0.02),"")</f>
        <v/>
      </c>
      <c r="M142" s="51"/>
      <c r="Q142" s="46" t="str">
        <f>IFERROR(((#REF!*H142)-#REF!),"")</f>
        <v/>
      </c>
      <c r="S142" s="16" t="str">
        <f>IFERROR((Q142-#REF!-R142),"")</f>
        <v/>
      </c>
    </row>
    <row r="143" spans="10:19">
      <c r="J143" s="45" t="str">
        <f>IFERROR((#REF!/H143),"")</f>
        <v/>
      </c>
      <c r="L143" s="16" t="str">
        <f>IFERROR(((#REF!*A143)*0.02),"")</f>
        <v/>
      </c>
      <c r="M143" s="51"/>
      <c r="Q143" s="46" t="str">
        <f>IFERROR(((#REF!*H143)-#REF!),"")</f>
        <v/>
      </c>
      <c r="S143" s="16" t="str">
        <f>IFERROR((Q143-#REF!-R143),"")</f>
        <v/>
      </c>
    </row>
    <row r="144" spans="10:19">
      <c r="J144" s="45" t="str">
        <f>IFERROR((#REF!/H144),"")</f>
        <v/>
      </c>
      <c r="L144" s="16" t="str">
        <f>IFERROR(((#REF!*A144)*0.02),"")</f>
        <v/>
      </c>
      <c r="M144" s="51"/>
      <c r="Q144" s="46" t="str">
        <f>IFERROR(((#REF!*H144)-#REF!),"")</f>
        <v/>
      </c>
    </row>
    <row r="145" spans="10:17">
      <c r="J145" s="45" t="str">
        <f>IFERROR((#REF!/H145),"")</f>
        <v/>
      </c>
      <c r="M145" s="51"/>
      <c r="Q145" s="46" t="str">
        <f>IFERROR(((#REF!*H145)-#REF!),"")</f>
        <v/>
      </c>
    </row>
    <row r="146" spans="10:17">
      <c r="J146" s="45" t="str">
        <f>IFERROR((#REF!/H146),"")</f>
        <v/>
      </c>
      <c r="M146" s="51"/>
      <c r="Q146" s="46" t="str">
        <f>IFERROR(((#REF!*H146)-#REF!),"")</f>
        <v/>
      </c>
    </row>
    <row r="147" spans="10:17">
      <c r="J147" s="45" t="str">
        <f>IFERROR((#REF!/H147),"")</f>
        <v/>
      </c>
      <c r="M147" s="51"/>
      <c r="Q147" s="46" t="str">
        <f>IFERROR(((#REF!*H147)-#REF!),"")</f>
        <v/>
      </c>
    </row>
    <row r="148" spans="10:17">
      <c r="J148" s="45" t="str">
        <f>IFERROR((#REF!/H148),"")</f>
        <v/>
      </c>
      <c r="M148" s="51"/>
      <c r="Q148" s="46" t="str">
        <f>IFERROR(((#REF!*H148)-#REF!),"")</f>
        <v/>
      </c>
    </row>
    <row r="149" spans="10:17">
      <c r="J149" s="45" t="str">
        <f>IFERROR((#REF!/H149),"")</f>
        <v/>
      </c>
      <c r="M149" s="51"/>
    </row>
    <row r="150" spans="10:17">
      <c r="J150" s="45" t="str">
        <f>IFERROR((#REF!/H150),"")</f>
        <v/>
      </c>
      <c r="M150" s="51"/>
    </row>
    <row r="151" spans="10:17">
      <c r="J151" s="45" t="str">
        <f>IFERROR((#REF!/H151),"")</f>
        <v/>
      </c>
      <c r="M151" s="51"/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E7F3-100B-5246-85E4-F3EE1B6F0B85}">
  <dimension ref="A1:F163"/>
  <sheetViews>
    <sheetView workbookViewId="0">
      <selection activeCell="B11" sqref="B11:B12"/>
    </sheetView>
  </sheetViews>
  <sheetFormatPr baseColWidth="10" defaultColWidth="8.83203125" defaultRowHeight="15"/>
  <cols>
    <col min="1" max="1" width="8.83203125" style="3" bestFit="1"/>
    <col min="2" max="2" width="50.1640625" style="1" customWidth="1"/>
    <col min="3" max="3" width="3.6640625" style="1" bestFit="1" customWidth="1"/>
    <col min="4" max="4" width="13.1640625" style="1" bestFit="1" customWidth="1"/>
    <col min="5" max="5" width="12.33203125" style="5" bestFit="1" customWidth="1"/>
    <col min="6" max="6" width="9" style="3" bestFit="1" customWidth="1"/>
    <col min="7" max="16384" width="8.83203125" style="1"/>
  </cols>
  <sheetData>
    <row r="1" spans="1:6" s="2" customFormat="1">
      <c r="A1" s="17" t="s">
        <v>0</v>
      </c>
      <c r="B1" s="18" t="s">
        <v>1</v>
      </c>
      <c r="C1" s="18" t="s">
        <v>6</v>
      </c>
      <c r="D1" s="19" t="s">
        <v>2</v>
      </c>
      <c r="E1" s="19" t="s">
        <v>39</v>
      </c>
      <c r="F1" s="20" t="s">
        <v>8</v>
      </c>
    </row>
    <row r="2" spans="1:6">
      <c r="A2" s="21">
        <v>6</v>
      </c>
      <c r="B2" s="18" t="s">
        <v>15</v>
      </c>
      <c r="C2" s="22">
        <v>1</v>
      </c>
      <c r="D2" s="23">
        <v>948.74999999999989</v>
      </c>
      <c r="E2" s="23">
        <v>5692.4999999999991</v>
      </c>
      <c r="F2" s="20" t="s">
        <v>40</v>
      </c>
    </row>
    <row r="3" spans="1:6">
      <c r="A3" s="20">
        <v>6</v>
      </c>
      <c r="B3" s="18" t="s">
        <v>33</v>
      </c>
      <c r="C3" s="22">
        <v>1</v>
      </c>
      <c r="D3" s="23">
        <v>1063.75</v>
      </c>
      <c r="E3" s="23">
        <v>6382.5</v>
      </c>
      <c r="F3" s="20" t="s">
        <v>40</v>
      </c>
    </row>
    <row r="4" spans="1:6">
      <c r="A4" s="24">
        <v>4</v>
      </c>
      <c r="B4" s="18" t="s">
        <v>16</v>
      </c>
      <c r="C4" s="22">
        <v>1</v>
      </c>
      <c r="D4" s="23">
        <v>1006.2499999999999</v>
      </c>
      <c r="E4" s="23">
        <v>4024.9999999999995</v>
      </c>
      <c r="F4" s="20" t="s">
        <v>40</v>
      </c>
    </row>
    <row r="5" spans="1:6">
      <c r="A5" s="24">
        <v>4</v>
      </c>
      <c r="B5" s="18" t="s">
        <v>17</v>
      </c>
      <c r="C5" s="22">
        <v>1</v>
      </c>
      <c r="D5" s="23">
        <v>184</v>
      </c>
      <c r="E5" s="23">
        <v>736</v>
      </c>
      <c r="F5" s="20" t="s">
        <v>40</v>
      </c>
    </row>
    <row r="6" spans="1:6">
      <c r="A6" s="24">
        <v>4</v>
      </c>
      <c r="B6" s="18" t="s">
        <v>18</v>
      </c>
      <c r="C6" s="22">
        <v>1</v>
      </c>
      <c r="D6" s="23">
        <v>270.25</v>
      </c>
      <c r="E6" s="23">
        <v>1081</v>
      </c>
      <c r="F6" s="20" t="s">
        <v>40</v>
      </c>
    </row>
    <row r="7" spans="1:6">
      <c r="A7" s="24">
        <v>4</v>
      </c>
      <c r="B7" s="18" t="s">
        <v>19</v>
      </c>
      <c r="C7" s="22">
        <v>1</v>
      </c>
      <c r="D7" s="23">
        <v>1322.5</v>
      </c>
      <c r="E7" s="23">
        <v>5290</v>
      </c>
      <c r="F7" s="20" t="s">
        <v>40</v>
      </c>
    </row>
    <row r="8" spans="1:6">
      <c r="A8" s="24">
        <v>1</v>
      </c>
      <c r="B8" s="18" t="s">
        <v>20</v>
      </c>
      <c r="C8" s="22">
        <v>1</v>
      </c>
      <c r="D8" s="23">
        <v>994.74999999999989</v>
      </c>
      <c r="E8" s="23">
        <v>994.74999999999989</v>
      </c>
      <c r="F8" s="20" t="s">
        <v>40</v>
      </c>
    </row>
    <row r="9" spans="1:6">
      <c r="A9" s="24">
        <v>2</v>
      </c>
      <c r="B9" s="18" t="s">
        <v>21</v>
      </c>
      <c r="C9" s="22">
        <v>1</v>
      </c>
      <c r="D9" s="23">
        <v>2869.25</v>
      </c>
      <c r="E9" s="23">
        <v>5738.5</v>
      </c>
      <c r="F9" s="20" t="s">
        <v>40</v>
      </c>
    </row>
    <row r="10" spans="1:6">
      <c r="A10" s="24">
        <v>2</v>
      </c>
      <c r="B10" s="18" t="s">
        <v>22</v>
      </c>
      <c r="C10" s="22">
        <v>1</v>
      </c>
      <c r="D10" s="23">
        <v>5175</v>
      </c>
      <c r="E10" s="23">
        <v>10350</v>
      </c>
      <c r="F10" s="20" t="s">
        <v>40</v>
      </c>
    </row>
    <row r="11" spans="1:6">
      <c r="A11" s="24">
        <v>3</v>
      </c>
      <c r="B11" s="18" t="s">
        <v>45</v>
      </c>
      <c r="C11" s="22">
        <v>1</v>
      </c>
      <c r="D11" s="23">
        <v>431.24999999999994</v>
      </c>
      <c r="E11" s="23">
        <v>1293.7499999999998</v>
      </c>
      <c r="F11" s="20" t="s">
        <v>40</v>
      </c>
    </row>
    <row r="12" spans="1:6">
      <c r="A12" s="24">
        <v>4</v>
      </c>
      <c r="B12" s="18" t="s">
        <v>46</v>
      </c>
      <c r="C12" s="22">
        <v>1</v>
      </c>
      <c r="D12" s="23">
        <v>2754.2499999999995</v>
      </c>
      <c r="E12" s="23">
        <v>11016.999999999998</v>
      </c>
      <c r="F12" s="20" t="s">
        <v>40</v>
      </c>
    </row>
    <row r="13" spans="1:6">
      <c r="A13" s="24">
        <v>1</v>
      </c>
      <c r="B13" s="18" t="s">
        <v>23</v>
      </c>
      <c r="C13" s="22">
        <v>1</v>
      </c>
      <c r="D13" s="23">
        <v>3329.2499999999995</v>
      </c>
      <c r="E13" s="23">
        <v>3329.2499999999995</v>
      </c>
      <c r="F13" s="20" t="s">
        <v>40</v>
      </c>
    </row>
    <row r="14" spans="1:6">
      <c r="A14" s="24">
        <v>2</v>
      </c>
      <c r="B14" s="18" t="s">
        <v>24</v>
      </c>
      <c r="C14" s="22">
        <v>1</v>
      </c>
      <c r="D14" s="23">
        <v>5744.2499999999991</v>
      </c>
      <c r="E14" s="23">
        <v>11488.499999999998</v>
      </c>
      <c r="F14" s="20" t="s">
        <v>40</v>
      </c>
    </row>
    <row r="15" spans="1:6">
      <c r="A15" s="24">
        <v>2</v>
      </c>
      <c r="B15" s="18" t="s">
        <v>25</v>
      </c>
      <c r="C15" s="22">
        <v>1</v>
      </c>
      <c r="D15" s="23">
        <v>2179.2499999999995</v>
      </c>
      <c r="E15" s="23">
        <v>4358.4999999999991</v>
      </c>
      <c r="F15" s="20" t="s">
        <v>40</v>
      </c>
    </row>
    <row r="16" spans="1:6">
      <c r="A16" s="24">
        <v>2</v>
      </c>
      <c r="B16" s="18" t="s">
        <v>26</v>
      </c>
      <c r="C16" s="22">
        <v>1</v>
      </c>
      <c r="D16" s="23">
        <v>977.49999999999989</v>
      </c>
      <c r="E16" s="23">
        <v>1954.9999999999998</v>
      </c>
      <c r="F16" s="20" t="s">
        <v>40</v>
      </c>
    </row>
    <row r="17" spans="1:6">
      <c r="A17" s="24">
        <v>2</v>
      </c>
      <c r="B17" s="18" t="s">
        <v>27</v>
      </c>
      <c r="C17" s="22">
        <v>1</v>
      </c>
      <c r="D17" s="23">
        <v>948.74999999999989</v>
      </c>
      <c r="E17" s="23">
        <v>1897.4999999999998</v>
      </c>
      <c r="F17" s="20" t="s">
        <v>40</v>
      </c>
    </row>
    <row r="18" spans="1:6">
      <c r="A18" s="24">
        <v>1</v>
      </c>
      <c r="B18" s="18" t="s">
        <v>28</v>
      </c>
      <c r="C18" s="22">
        <v>1</v>
      </c>
      <c r="D18" s="23">
        <v>1029.25</v>
      </c>
      <c r="E18" s="23">
        <v>1029.25</v>
      </c>
      <c r="F18" s="20" t="s">
        <v>40</v>
      </c>
    </row>
    <row r="19" spans="1:6">
      <c r="A19" s="24">
        <v>1</v>
      </c>
      <c r="B19" s="18" t="s">
        <v>29</v>
      </c>
      <c r="C19" s="22">
        <v>1</v>
      </c>
      <c r="D19" s="23">
        <v>3622.4999999999995</v>
      </c>
      <c r="E19" s="23">
        <v>3622.4999999999995</v>
      </c>
      <c r="F19" s="20" t="s">
        <v>40</v>
      </c>
    </row>
    <row r="20" spans="1:6">
      <c r="A20" s="24">
        <v>1</v>
      </c>
      <c r="B20" s="18" t="s">
        <v>30</v>
      </c>
      <c r="C20" s="22">
        <v>1</v>
      </c>
      <c r="D20" s="23">
        <v>1092.4999999999998</v>
      </c>
      <c r="E20" s="23">
        <v>1092.4999999999998</v>
      </c>
      <c r="F20" s="20" t="s">
        <v>40</v>
      </c>
    </row>
    <row r="21" spans="1:6">
      <c r="A21" s="24">
        <v>2</v>
      </c>
      <c r="B21" s="18" t="s">
        <v>31</v>
      </c>
      <c r="C21" s="22">
        <v>1</v>
      </c>
      <c r="D21" s="23">
        <v>1719.2499999999998</v>
      </c>
      <c r="E21" s="23">
        <v>3438.4999999999995</v>
      </c>
      <c r="F21" s="20" t="s">
        <v>40</v>
      </c>
    </row>
    <row r="22" spans="1:6">
      <c r="A22" s="24">
        <v>1</v>
      </c>
      <c r="B22" s="18" t="s">
        <v>32</v>
      </c>
      <c r="C22" s="22">
        <v>1</v>
      </c>
      <c r="D22" s="23">
        <v>684.24999999999989</v>
      </c>
      <c r="E22" s="23">
        <v>684.24999999999989</v>
      </c>
      <c r="F22" s="20" t="s">
        <v>40</v>
      </c>
    </row>
    <row r="23" spans="1:6">
      <c r="A23" s="24">
        <v>2</v>
      </c>
      <c r="B23" s="18" t="s">
        <v>34</v>
      </c>
      <c r="C23" s="22">
        <v>1</v>
      </c>
      <c r="D23" s="23">
        <v>632.49999999999989</v>
      </c>
      <c r="E23" s="23">
        <v>1264.9999999999998</v>
      </c>
      <c r="F23" s="20" t="s">
        <v>40</v>
      </c>
    </row>
    <row r="24" spans="1:6">
      <c r="A24" s="24">
        <v>3</v>
      </c>
      <c r="B24" s="18" t="s">
        <v>35</v>
      </c>
      <c r="C24" s="22">
        <v>1</v>
      </c>
      <c r="D24" s="23">
        <v>1293.7499999999998</v>
      </c>
      <c r="E24" s="23">
        <v>3881.2499999999991</v>
      </c>
      <c r="F24" s="20" t="s">
        <v>40</v>
      </c>
    </row>
    <row r="25" spans="1:6">
      <c r="A25" s="24">
        <v>4</v>
      </c>
      <c r="B25" s="18" t="s">
        <v>36</v>
      </c>
      <c r="C25" s="22">
        <v>1</v>
      </c>
      <c r="D25" s="23">
        <v>362.24999999999994</v>
      </c>
      <c r="E25" s="23">
        <v>1448.9999999999998</v>
      </c>
      <c r="F25" s="20" t="s">
        <v>40</v>
      </c>
    </row>
    <row r="26" spans="1:6">
      <c r="A26" s="24">
        <v>2</v>
      </c>
      <c r="B26" s="18" t="s">
        <v>37</v>
      </c>
      <c r="C26" s="22">
        <v>1</v>
      </c>
      <c r="D26" s="23">
        <v>442.74999999999994</v>
      </c>
      <c r="E26" s="23">
        <v>885.49999999999989</v>
      </c>
      <c r="F26" s="20" t="s">
        <v>40</v>
      </c>
    </row>
    <row r="27" spans="1:6" s="11" customFormat="1">
      <c r="A27" s="25">
        <f t="shared" ref="A27" si="0">SUM(A2:A26)</f>
        <v>66</v>
      </c>
      <c r="B27" s="26"/>
      <c r="C27" s="26"/>
      <c r="D27" s="27" t="s">
        <v>44</v>
      </c>
      <c r="E27" s="28">
        <v>92977.5</v>
      </c>
      <c r="F27" s="29"/>
    </row>
    <row r="28" spans="1:6">
      <c r="E28" s="6" t="s">
        <v>44</v>
      </c>
      <c r="F28" s="16" t="str">
        <f>IFERROR(((#REF!*C28)*0.02),"")</f>
        <v/>
      </c>
    </row>
    <row r="29" spans="1:6">
      <c r="E29" s="6" t="s">
        <v>44</v>
      </c>
      <c r="F29" s="16" t="str">
        <f>IFERROR(((#REF!*C29)*0.02),"")</f>
        <v/>
      </c>
    </row>
    <row r="30" spans="1:6">
      <c r="E30" s="6" t="s">
        <v>44</v>
      </c>
      <c r="F30" s="16" t="str">
        <f>IFERROR(((#REF!*C30)*0.02),"")</f>
        <v/>
      </c>
    </row>
    <row r="31" spans="1:6">
      <c r="E31" s="6" t="s">
        <v>44</v>
      </c>
      <c r="F31" s="16" t="str">
        <f>IFERROR(((#REF!*C31)*0.02),"")</f>
        <v/>
      </c>
    </row>
    <row r="32" spans="1:6">
      <c r="E32" s="6" t="s">
        <v>44</v>
      </c>
      <c r="F32" s="16" t="str">
        <f>IFERROR(((#REF!*C32)*0.02),"")</f>
        <v/>
      </c>
    </row>
    <row r="33" spans="5:6">
      <c r="E33" s="6" t="s">
        <v>44</v>
      </c>
      <c r="F33" s="16" t="str">
        <f>IFERROR(((#REF!*C33)*0.02),"")</f>
        <v/>
      </c>
    </row>
    <row r="34" spans="5:6">
      <c r="E34" s="6" t="s">
        <v>44</v>
      </c>
      <c r="F34" s="16" t="str">
        <f>IFERROR(((#REF!*C34)*0.02),"")</f>
        <v/>
      </c>
    </row>
    <row r="35" spans="5:6">
      <c r="E35" s="6" t="s">
        <v>44</v>
      </c>
      <c r="F35" s="16" t="str">
        <f>IFERROR(((#REF!*C35)*0.02),"")</f>
        <v/>
      </c>
    </row>
    <row r="36" spans="5:6">
      <c r="E36" s="6" t="s">
        <v>44</v>
      </c>
      <c r="F36" s="16" t="str">
        <f>IFERROR(((#REF!*C36)*0.02),"")</f>
        <v/>
      </c>
    </row>
    <row r="37" spans="5:6">
      <c r="E37" s="6" t="s">
        <v>44</v>
      </c>
      <c r="F37" s="16" t="str">
        <f>IFERROR(((#REF!*C37)*0.02),"")</f>
        <v/>
      </c>
    </row>
    <row r="38" spans="5:6">
      <c r="E38" s="6" t="s">
        <v>44</v>
      </c>
      <c r="F38" s="16" t="str">
        <f>IFERROR(((#REF!*C38)*0.02),"")</f>
        <v/>
      </c>
    </row>
    <row r="39" spans="5:6">
      <c r="E39" s="6" t="s">
        <v>44</v>
      </c>
      <c r="F39" s="16" t="str">
        <f>IFERROR(((#REF!*C39)*0.02),"")</f>
        <v/>
      </c>
    </row>
    <row r="40" spans="5:6">
      <c r="E40" s="6" t="s">
        <v>44</v>
      </c>
      <c r="F40" s="16" t="str">
        <f>IFERROR(((#REF!*C40)*0.02),"")</f>
        <v/>
      </c>
    </row>
    <row r="41" spans="5:6">
      <c r="E41" s="6" t="s">
        <v>44</v>
      </c>
      <c r="F41" s="16" t="str">
        <f>IFERROR(((#REF!*C41)*0.02),"")</f>
        <v/>
      </c>
    </row>
    <row r="42" spans="5:6">
      <c r="E42" s="6" t="s">
        <v>44</v>
      </c>
      <c r="F42" s="16" t="str">
        <f>IFERROR(((#REF!*C42)*0.02),"")</f>
        <v/>
      </c>
    </row>
    <row r="43" spans="5:6">
      <c r="E43" s="6" t="s">
        <v>44</v>
      </c>
      <c r="F43" s="16" t="str">
        <f>IFERROR(((#REF!*C43)*0.02),"")</f>
        <v/>
      </c>
    </row>
    <row r="44" spans="5:6">
      <c r="E44" s="6" t="s">
        <v>44</v>
      </c>
      <c r="F44" s="16" t="str">
        <f>IFERROR(((#REF!*C44)*0.02),"")</f>
        <v/>
      </c>
    </row>
    <row r="45" spans="5:6">
      <c r="E45" s="6" t="s">
        <v>44</v>
      </c>
      <c r="F45" s="16" t="str">
        <f>IFERROR(((#REF!*C45)*0.02),"")</f>
        <v/>
      </c>
    </row>
    <row r="46" spans="5:6">
      <c r="E46" s="6" t="s">
        <v>44</v>
      </c>
      <c r="F46" s="16" t="str">
        <f>IFERROR(((#REF!*C46)*0.02),"")</f>
        <v/>
      </c>
    </row>
    <row r="47" spans="5:6">
      <c r="E47" s="6" t="s">
        <v>44</v>
      </c>
      <c r="F47" s="16" t="str">
        <f>IFERROR(((#REF!*C47)*0.02),"")</f>
        <v/>
      </c>
    </row>
    <row r="48" spans="5:6">
      <c r="E48" s="6" t="s">
        <v>44</v>
      </c>
      <c r="F48" s="16" t="str">
        <f>IFERROR(((#REF!*C48)*0.02),"")</f>
        <v/>
      </c>
    </row>
    <row r="49" spans="5:6">
      <c r="E49" s="6" t="s">
        <v>44</v>
      </c>
      <c r="F49" s="16" t="str">
        <f>IFERROR(((#REF!*C49)*0.02),"")</f>
        <v/>
      </c>
    </row>
    <row r="50" spans="5:6">
      <c r="E50" s="6" t="s">
        <v>44</v>
      </c>
      <c r="F50" s="16" t="str">
        <f>IFERROR(((#REF!*C50)*0.02),"")</f>
        <v/>
      </c>
    </row>
    <row r="51" spans="5:6">
      <c r="E51" s="6" t="s">
        <v>44</v>
      </c>
      <c r="F51" s="16" t="str">
        <f>IFERROR(((#REF!*C51)*0.02),"")</f>
        <v/>
      </c>
    </row>
    <row r="52" spans="5:6">
      <c r="E52" s="6" t="s">
        <v>44</v>
      </c>
      <c r="F52" s="16" t="str">
        <f>IFERROR(((#REF!*C52)*0.02),"")</f>
        <v/>
      </c>
    </row>
    <row r="53" spans="5:6">
      <c r="E53" s="6" t="s">
        <v>44</v>
      </c>
      <c r="F53" s="16" t="str">
        <f>IFERROR(((#REF!*C53)*0.02),"")</f>
        <v/>
      </c>
    </row>
    <row r="54" spans="5:6">
      <c r="E54" s="6" t="s">
        <v>44</v>
      </c>
      <c r="F54" s="16" t="str">
        <f>IFERROR(((#REF!*C54)*0.02),"")</f>
        <v/>
      </c>
    </row>
    <row r="55" spans="5:6">
      <c r="E55" s="6" t="s">
        <v>44</v>
      </c>
      <c r="F55" s="16" t="str">
        <f>IFERROR(((#REF!*C55)*0.02),"")</f>
        <v/>
      </c>
    </row>
    <row r="56" spans="5:6">
      <c r="E56" s="6" t="s">
        <v>44</v>
      </c>
      <c r="F56" s="16" t="str">
        <f>IFERROR(((#REF!*C56)*0.02),"")</f>
        <v/>
      </c>
    </row>
    <row r="57" spans="5:6">
      <c r="E57" s="6" t="s">
        <v>44</v>
      </c>
      <c r="F57" s="16" t="str">
        <f>IFERROR(((#REF!*C57)*0.02),"")</f>
        <v/>
      </c>
    </row>
    <row r="58" spans="5:6">
      <c r="E58" s="6" t="s">
        <v>44</v>
      </c>
      <c r="F58" s="16" t="str">
        <f>IFERROR(((#REF!*C58)*0.02),"")</f>
        <v/>
      </c>
    </row>
    <row r="59" spans="5:6">
      <c r="E59" s="6" t="s">
        <v>44</v>
      </c>
      <c r="F59" s="16" t="str">
        <f>IFERROR(((#REF!*C59)*0.02),"")</f>
        <v/>
      </c>
    </row>
    <row r="60" spans="5:6">
      <c r="E60" s="6" t="s">
        <v>44</v>
      </c>
      <c r="F60" s="16" t="str">
        <f>IFERROR(((#REF!*C60)*0.02),"")</f>
        <v/>
      </c>
    </row>
    <row r="61" spans="5:6">
      <c r="E61" s="6" t="s">
        <v>44</v>
      </c>
      <c r="F61" s="16" t="str">
        <f>IFERROR(((#REF!*C61)*0.02),"")</f>
        <v/>
      </c>
    </row>
    <row r="62" spans="5:6">
      <c r="E62" s="6" t="s">
        <v>44</v>
      </c>
      <c r="F62" s="16" t="str">
        <f>IFERROR(((#REF!*C62)*0.02),"")</f>
        <v/>
      </c>
    </row>
    <row r="63" spans="5:6">
      <c r="E63" s="6" t="s">
        <v>44</v>
      </c>
      <c r="F63" s="16" t="str">
        <f>IFERROR(((#REF!*C63)*0.02),"")</f>
        <v/>
      </c>
    </row>
    <row r="64" spans="5:6">
      <c r="E64" s="6" t="s">
        <v>44</v>
      </c>
      <c r="F64" s="16" t="str">
        <f>IFERROR(((#REF!*C64)*0.02),"")</f>
        <v/>
      </c>
    </row>
    <row r="65" spans="5:6">
      <c r="E65" s="6" t="s">
        <v>44</v>
      </c>
      <c r="F65" s="16" t="str">
        <f>IFERROR(((#REF!*C65)*0.02),"")</f>
        <v/>
      </c>
    </row>
    <row r="66" spans="5:6">
      <c r="E66" s="6" t="s">
        <v>44</v>
      </c>
      <c r="F66" s="16" t="str">
        <f>IFERROR(((#REF!*C66)*0.02),"")</f>
        <v/>
      </c>
    </row>
    <row r="67" spans="5:6">
      <c r="E67" s="6" t="s">
        <v>44</v>
      </c>
      <c r="F67" s="16" t="str">
        <f>IFERROR(((#REF!*C67)*0.02),"")</f>
        <v/>
      </c>
    </row>
    <row r="68" spans="5:6">
      <c r="E68" s="6" t="s">
        <v>44</v>
      </c>
      <c r="F68" s="16" t="str">
        <f>IFERROR(((#REF!*C68)*0.02),"")</f>
        <v/>
      </c>
    </row>
    <row r="69" spans="5:6">
      <c r="E69" s="6" t="s">
        <v>44</v>
      </c>
      <c r="F69" s="16" t="str">
        <f>IFERROR(((#REF!*C69)*0.02),"")</f>
        <v/>
      </c>
    </row>
    <row r="70" spans="5:6">
      <c r="E70" s="6" t="s">
        <v>44</v>
      </c>
      <c r="F70" s="16" t="str">
        <f>IFERROR(((#REF!*C70)*0.02),"")</f>
        <v/>
      </c>
    </row>
    <row r="71" spans="5:6">
      <c r="E71" s="6" t="s">
        <v>44</v>
      </c>
      <c r="F71" s="16" t="str">
        <f>IFERROR(((#REF!*C71)*0.02),"")</f>
        <v/>
      </c>
    </row>
    <row r="72" spans="5:6">
      <c r="E72" s="6" t="s">
        <v>44</v>
      </c>
      <c r="F72" s="16" t="str">
        <f>IFERROR(((#REF!*C72)*0.02),"")</f>
        <v/>
      </c>
    </row>
    <row r="73" spans="5:6">
      <c r="E73" s="6" t="s">
        <v>44</v>
      </c>
      <c r="F73" s="16" t="str">
        <f>IFERROR(((#REF!*C73)*0.02),"")</f>
        <v/>
      </c>
    </row>
    <row r="74" spans="5:6">
      <c r="E74" s="6" t="s">
        <v>44</v>
      </c>
      <c r="F74" s="16" t="str">
        <f>IFERROR(((#REF!*C74)*0.02),"")</f>
        <v/>
      </c>
    </row>
    <row r="75" spans="5:6">
      <c r="E75" s="6" t="s">
        <v>44</v>
      </c>
      <c r="F75" s="16" t="str">
        <f>IFERROR(((#REF!*C75)*0.02),"")</f>
        <v/>
      </c>
    </row>
    <row r="76" spans="5:6">
      <c r="E76" s="6" t="s">
        <v>44</v>
      </c>
      <c r="F76" s="16" t="str">
        <f>IFERROR(((#REF!*C76)*0.02),"")</f>
        <v/>
      </c>
    </row>
    <row r="77" spans="5:6">
      <c r="E77" s="6" t="s">
        <v>44</v>
      </c>
      <c r="F77" s="16" t="str">
        <f>IFERROR(((#REF!*C77)*0.02),"")</f>
        <v/>
      </c>
    </row>
    <row r="78" spans="5:6">
      <c r="E78" s="6" t="s">
        <v>44</v>
      </c>
      <c r="F78" s="16" t="str">
        <f>IFERROR(((#REF!*C78)*0.02),"")</f>
        <v/>
      </c>
    </row>
    <row r="79" spans="5:6">
      <c r="E79" s="6" t="s">
        <v>44</v>
      </c>
      <c r="F79" s="16" t="str">
        <f>IFERROR(((#REF!*C79)*0.02),"")</f>
        <v/>
      </c>
    </row>
    <row r="80" spans="5:6">
      <c r="E80" s="6" t="s">
        <v>44</v>
      </c>
      <c r="F80" s="16" t="str">
        <f>IFERROR(((#REF!*C80)*0.02),"")</f>
        <v/>
      </c>
    </row>
    <row r="81" spans="5:6">
      <c r="E81" s="6" t="s">
        <v>44</v>
      </c>
      <c r="F81" s="16" t="str">
        <f>IFERROR(((#REF!*C81)*0.02),"")</f>
        <v/>
      </c>
    </row>
    <row r="82" spans="5:6">
      <c r="E82" s="6" t="s">
        <v>44</v>
      </c>
      <c r="F82" s="16" t="str">
        <f>IFERROR(((#REF!*C82)*0.02),"")</f>
        <v/>
      </c>
    </row>
    <row r="83" spans="5:6">
      <c r="E83" s="6" t="s">
        <v>44</v>
      </c>
      <c r="F83" s="16" t="str">
        <f>IFERROR(((#REF!*C83)*0.02),"")</f>
        <v/>
      </c>
    </row>
    <row r="84" spans="5:6">
      <c r="E84" s="6" t="s">
        <v>44</v>
      </c>
      <c r="F84" s="16" t="str">
        <f>IFERROR(((#REF!*C84)*0.02),"")</f>
        <v/>
      </c>
    </row>
    <row r="85" spans="5:6">
      <c r="E85" s="6" t="s">
        <v>44</v>
      </c>
      <c r="F85" s="16" t="str">
        <f>IFERROR(((#REF!*C85)*0.02),"")</f>
        <v/>
      </c>
    </row>
    <row r="86" spans="5:6">
      <c r="E86" s="6" t="s">
        <v>44</v>
      </c>
      <c r="F86" s="16" t="str">
        <f>IFERROR(((#REF!*C86)*0.02),"")</f>
        <v/>
      </c>
    </row>
    <row r="87" spans="5:6">
      <c r="E87" s="6" t="s">
        <v>44</v>
      </c>
      <c r="F87" s="16" t="str">
        <f>IFERROR(((#REF!*C87)*0.02),"")</f>
        <v/>
      </c>
    </row>
    <row r="88" spans="5:6">
      <c r="E88" s="6" t="s">
        <v>44</v>
      </c>
      <c r="F88" s="16" t="str">
        <f>IFERROR(((#REF!*C88)*0.02),"")</f>
        <v/>
      </c>
    </row>
    <row r="89" spans="5:6">
      <c r="E89" s="6" t="s">
        <v>44</v>
      </c>
      <c r="F89" s="16" t="str">
        <f>IFERROR(((#REF!*C89)*0.02),"")</f>
        <v/>
      </c>
    </row>
    <row r="90" spans="5:6">
      <c r="E90" s="6" t="s">
        <v>44</v>
      </c>
      <c r="F90" s="16" t="str">
        <f>IFERROR(((#REF!*C90)*0.02),"")</f>
        <v/>
      </c>
    </row>
    <row r="91" spans="5:6">
      <c r="E91" s="6" t="s">
        <v>44</v>
      </c>
      <c r="F91" s="16" t="str">
        <f>IFERROR(((#REF!*C91)*0.02),"")</f>
        <v/>
      </c>
    </row>
    <row r="92" spans="5:6">
      <c r="E92" s="6" t="s">
        <v>44</v>
      </c>
      <c r="F92" s="16" t="str">
        <f>IFERROR(((#REF!*C92)*0.02),"")</f>
        <v/>
      </c>
    </row>
    <row r="93" spans="5:6">
      <c r="E93" s="6" t="s">
        <v>44</v>
      </c>
      <c r="F93" s="16" t="str">
        <f>IFERROR(((#REF!*C93)*0.02),"")</f>
        <v/>
      </c>
    </row>
    <row r="94" spans="5:6">
      <c r="E94" s="6" t="s">
        <v>44</v>
      </c>
      <c r="F94" s="16" t="str">
        <f>IFERROR(((#REF!*C94)*0.02),"")</f>
        <v/>
      </c>
    </row>
    <row r="95" spans="5:6">
      <c r="E95" s="6" t="s">
        <v>44</v>
      </c>
      <c r="F95" s="16" t="str">
        <f>IFERROR(((#REF!*C95)*0.02),"")</f>
        <v/>
      </c>
    </row>
    <row r="96" spans="5:6">
      <c r="E96" s="6" t="s">
        <v>44</v>
      </c>
      <c r="F96" s="16" t="str">
        <f>IFERROR(((#REF!*C96)*0.02),"")</f>
        <v/>
      </c>
    </row>
    <row r="97" spans="5:6">
      <c r="E97" s="6" t="s">
        <v>44</v>
      </c>
      <c r="F97" s="16" t="str">
        <f>IFERROR(((#REF!*C97)*0.02),"")</f>
        <v/>
      </c>
    </row>
    <row r="98" spans="5:6">
      <c r="E98" s="6" t="s">
        <v>44</v>
      </c>
      <c r="F98" s="16" t="str">
        <f>IFERROR(((#REF!*C98)*0.02),"")</f>
        <v/>
      </c>
    </row>
    <row r="99" spans="5:6">
      <c r="E99" s="6" t="s">
        <v>44</v>
      </c>
      <c r="F99" s="16" t="str">
        <f>IFERROR(((#REF!*C99)*0.02),"")</f>
        <v/>
      </c>
    </row>
    <row r="100" spans="5:6">
      <c r="E100" s="6" t="s">
        <v>44</v>
      </c>
      <c r="F100" s="16" t="str">
        <f>IFERROR(((#REF!*C100)*0.02),"")</f>
        <v/>
      </c>
    </row>
    <row r="101" spans="5:6">
      <c r="E101" s="6" t="s">
        <v>44</v>
      </c>
      <c r="F101" s="16" t="str">
        <f>IFERROR(((#REF!*C101)*0.02),"")</f>
        <v/>
      </c>
    </row>
    <row r="102" spans="5:6">
      <c r="E102" s="6" t="s">
        <v>44</v>
      </c>
      <c r="F102" s="16" t="str">
        <f>IFERROR(((#REF!*C102)*0.02),"")</f>
        <v/>
      </c>
    </row>
    <row r="103" spans="5:6">
      <c r="E103" s="6" t="s">
        <v>44</v>
      </c>
      <c r="F103" s="16" t="str">
        <f>IFERROR(((#REF!*C103)*0.02),"")</f>
        <v/>
      </c>
    </row>
    <row r="104" spans="5:6">
      <c r="E104" s="6" t="s">
        <v>44</v>
      </c>
      <c r="F104" s="16" t="str">
        <f>IFERROR(((#REF!*C104)*0.02),"")</f>
        <v/>
      </c>
    </row>
    <row r="105" spans="5:6">
      <c r="E105" s="6" t="s">
        <v>44</v>
      </c>
      <c r="F105" s="16" t="str">
        <f>IFERROR(((#REF!*C105)*0.02),"")</f>
        <v/>
      </c>
    </row>
    <row r="106" spans="5:6">
      <c r="E106" s="6" t="s">
        <v>44</v>
      </c>
      <c r="F106" s="16" t="str">
        <f>IFERROR(((#REF!*C106)*0.02),"")</f>
        <v/>
      </c>
    </row>
    <row r="107" spans="5:6">
      <c r="E107" s="6" t="s">
        <v>44</v>
      </c>
      <c r="F107" s="16" t="str">
        <f>IFERROR(((#REF!*C107)*0.02),"")</f>
        <v/>
      </c>
    </row>
    <row r="108" spans="5:6">
      <c r="E108" s="6" t="s">
        <v>44</v>
      </c>
      <c r="F108" s="16" t="str">
        <f>IFERROR(((#REF!*C108)*0.02),"")</f>
        <v/>
      </c>
    </row>
    <row r="109" spans="5:6">
      <c r="E109" s="6" t="s">
        <v>44</v>
      </c>
      <c r="F109" s="16" t="str">
        <f>IFERROR(((#REF!*C109)*0.02),"")</f>
        <v/>
      </c>
    </row>
    <row r="110" spans="5:6">
      <c r="E110" s="6" t="s">
        <v>44</v>
      </c>
      <c r="F110" s="16" t="str">
        <f>IFERROR(((#REF!*C110)*0.02),"")</f>
        <v/>
      </c>
    </row>
    <row r="111" spans="5:6">
      <c r="E111" s="6" t="s">
        <v>44</v>
      </c>
      <c r="F111" s="16" t="str">
        <f>IFERROR(((#REF!*C111)*0.02),"")</f>
        <v/>
      </c>
    </row>
    <row r="112" spans="5:6">
      <c r="E112" s="6" t="s">
        <v>44</v>
      </c>
      <c r="F112" s="16" t="str">
        <f>IFERROR(((#REF!*C112)*0.02),"")</f>
        <v/>
      </c>
    </row>
    <row r="113" spans="5:6">
      <c r="E113" s="6" t="s">
        <v>44</v>
      </c>
      <c r="F113" s="16" t="str">
        <f>IFERROR(((#REF!*C113)*0.02),"")</f>
        <v/>
      </c>
    </row>
    <row r="114" spans="5:6">
      <c r="E114" s="6" t="s">
        <v>44</v>
      </c>
      <c r="F114" s="16" t="str">
        <f>IFERROR(((#REF!*C114)*0.02),"")</f>
        <v/>
      </c>
    </row>
    <row r="115" spans="5:6">
      <c r="E115" s="6" t="s">
        <v>44</v>
      </c>
      <c r="F115" s="16" t="str">
        <f>IFERROR(((#REF!*C115)*0.02),"")</f>
        <v/>
      </c>
    </row>
    <row r="116" spans="5:6">
      <c r="E116" s="6" t="s">
        <v>44</v>
      </c>
      <c r="F116" s="16" t="str">
        <f>IFERROR(((#REF!*C116)*0.02),"")</f>
        <v/>
      </c>
    </row>
    <row r="117" spans="5:6">
      <c r="E117" s="6" t="s">
        <v>44</v>
      </c>
      <c r="F117" s="16" t="str">
        <f>IFERROR(((#REF!*C117)*0.02),"")</f>
        <v/>
      </c>
    </row>
    <row r="118" spans="5:6">
      <c r="E118" s="6" t="s">
        <v>44</v>
      </c>
      <c r="F118" s="16" t="str">
        <f>IFERROR(((#REF!*C118)*0.02),"")</f>
        <v/>
      </c>
    </row>
    <row r="119" spans="5:6">
      <c r="E119" s="6" t="s">
        <v>44</v>
      </c>
      <c r="F119" s="16" t="str">
        <f>IFERROR(((#REF!*C119)*0.02),"")</f>
        <v/>
      </c>
    </row>
    <row r="120" spans="5:6">
      <c r="E120" s="6" t="s">
        <v>44</v>
      </c>
      <c r="F120" s="16" t="str">
        <f>IFERROR(((#REF!*C120)*0.02),"")</f>
        <v/>
      </c>
    </row>
    <row r="121" spans="5:6">
      <c r="E121" s="6" t="s">
        <v>44</v>
      </c>
      <c r="F121" s="16" t="str">
        <f>IFERROR(((#REF!*C121)*0.02),"")</f>
        <v/>
      </c>
    </row>
    <row r="122" spans="5:6">
      <c r="E122" s="6" t="s">
        <v>44</v>
      </c>
      <c r="F122" s="16" t="str">
        <f>IFERROR(((#REF!*C122)*0.02),"")</f>
        <v/>
      </c>
    </row>
    <row r="123" spans="5:6">
      <c r="E123" s="6" t="s">
        <v>44</v>
      </c>
      <c r="F123" s="16" t="str">
        <f>IFERROR(((#REF!*C123)*0.02),"")</f>
        <v/>
      </c>
    </row>
    <row r="124" spans="5:6">
      <c r="E124" s="6" t="s">
        <v>44</v>
      </c>
      <c r="F124" s="16" t="str">
        <f>IFERROR(((#REF!*C124)*0.02),"")</f>
        <v/>
      </c>
    </row>
    <row r="125" spans="5:6">
      <c r="E125" s="6" t="s">
        <v>44</v>
      </c>
      <c r="F125" s="16" t="str">
        <f>IFERROR(((#REF!*C125)*0.02),"")</f>
        <v/>
      </c>
    </row>
    <row r="126" spans="5:6">
      <c r="E126" s="6" t="s">
        <v>44</v>
      </c>
      <c r="F126" s="16" t="str">
        <f>IFERROR(((#REF!*C126)*0.02),"")</f>
        <v/>
      </c>
    </row>
    <row r="127" spans="5:6">
      <c r="E127" s="6" t="s">
        <v>44</v>
      </c>
      <c r="F127" s="16" t="str">
        <f>IFERROR(((#REF!*C127)*0.02),"")</f>
        <v/>
      </c>
    </row>
    <row r="128" spans="5:6">
      <c r="E128" s="6" t="s">
        <v>44</v>
      </c>
      <c r="F128" s="16" t="str">
        <f>IFERROR(((#REF!*C128)*0.02),"")</f>
        <v/>
      </c>
    </row>
    <row r="129" spans="5:6">
      <c r="E129" s="6" t="s">
        <v>44</v>
      </c>
      <c r="F129" s="16" t="str">
        <f>IFERROR(((#REF!*C129)*0.02),"")</f>
        <v/>
      </c>
    </row>
    <row r="130" spans="5:6">
      <c r="E130" s="6" t="s">
        <v>44</v>
      </c>
      <c r="F130" s="16" t="str">
        <f>IFERROR(((#REF!*C130)*0.02),"")</f>
        <v/>
      </c>
    </row>
    <row r="131" spans="5:6">
      <c r="E131" s="6" t="s">
        <v>44</v>
      </c>
      <c r="F131" s="16" t="str">
        <f>IFERROR(((#REF!*C131)*0.02),"")</f>
        <v/>
      </c>
    </row>
    <row r="132" spans="5:6">
      <c r="E132" s="6" t="s">
        <v>44</v>
      </c>
      <c r="F132" s="16" t="str">
        <f>IFERROR(((#REF!*C132)*0.02),"")</f>
        <v/>
      </c>
    </row>
    <row r="133" spans="5:6">
      <c r="E133" s="6" t="s">
        <v>44</v>
      </c>
      <c r="F133" s="16" t="str">
        <f>IFERROR(((#REF!*C133)*0.02),"")</f>
        <v/>
      </c>
    </row>
    <row r="134" spans="5:6">
      <c r="E134" s="6" t="s">
        <v>44</v>
      </c>
      <c r="F134" s="16" t="str">
        <f>IFERROR(((#REF!*C134)*0.02),"")</f>
        <v/>
      </c>
    </row>
    <row r="135" spans="5:6">
      <c r="E135" s="6" t="s">
        <v>44</v>
      </c>
      <c r="F135" s="16" t="str">
        <f>IFERROR(((#REF!*C135)*0.02),"")</f>
        <v/>
      </c>
    </row>
    <row r="136" spans="5:6">
      <c r="E136" s="6" t="s">
        <v>44</v>
      </c>
      <c r="F136" s="16" t="str">
        <f>IFERROR(((#REF!*C136)*0.02),"")</f>
        <v/>
      </c>
    </row>
    <row r="137" spans="5:6">
      <c r="E137" s="6" t="s">
        <v>44</v>
      </c>
      <c r="F137" s="16" t="str">
        <f>IFERROR(((#REF!*C137)*0.02),"")</f>
        <v/>
      </c>
    </row>
    <row r="138" spans="5:6">
      <c r="E138" s="6" t="s">
        <v>44</v>
      </c>
      <c r="F138" s="16" t="str">
        <f>IFERROR(((#REF!*C138)*0.02),"")</f>
        <v/>
      </c>
    </row>
    <row r="139" spans="5:6">
      <c r="E139" s="6" t="s">
        <v>44</v>
      </c>
      <c r="F139" s="16" t="str">
        <f>IFERROR(((#REF!*C139)*0.02),"")</f>
        <v/>
      </c>
    </row>
    <row r="140" spans="5:6">
      <c r="E140" s="6" t="s">
        <v>44</v>
      </c>
      <c r="F140" s="16" t="str">
        <f>IFERROR(((#REF!*C140)*0.02),"")</f>
        <v/>
      </c>
    </row>
    <row r="141" spans="5:6">
      <c r="E141" s="6" t="s">
        <v>44</v>
      </c>
      <c r="F141" s="16" t="str">
        <f>IFERROR(((#REF!*C141)*0.02),"")</f>
        <v/>
      </c>
    </row>
    <row r="142" spans="5:6">
      <c r="E142" s="6" t="s">
        <v>44</v>
      </c>
      <c r="F142" s="16" t="str">
        <f>IFERROR(((#REF!*C142)*0.02),"")</f>
        <v/>
      </c>
    </row>
    <row r="143" spans="5:6">
      <c r="E143" s="6" t="s">
        <v>44</v>
      </c>
      <c r="F143" s="16" t="str">
        <f>IFERROR(((#REF!*C143)*0.02),"")</f>
        <v/>
      </c>
    </row>
    <row r="144" spans="5:6">
      <c r="E144" s="6" t="s">
        <v>44</v>
      </c>
      <c r="F144" s="16" t="str">
        <f>IFERROR(((#REF!*C144)*0.02),"")</f>
        <v/>
      </c>
    </row>
    <row r="145" spans="5:6">
      <c r="E145" s="6" t="s">
        <v>44</v>
      </c>
      <c r="F145" s="16" t="str">
        <f>IFERROR(((#REF!*C145)*0.02),"")</f>
        <v/>
      </c>
    </row>
    <row r="146" spans="5:6">
      <c r="E146" s="6" t="s">
        <v>44</v>
      </c>
      <c r="F146" s="16" t="str">
        <f>IFERROR(((#REF!*C146)*0.02),"")</f>
        <v/>
      </c>
    </row>
    <row r="147" spans="5:6">
      <c r="E147" s="6" t="s">
        <v>44</v>
      </c>
      <c r="F147" s="16" t="str">
        <f>IFERROR(((#REF!*C147)*0.02),"")</f>
        <v/>
      </c>
    </row>
    <row r="148" spans="5:6">
      <c r="E148" s="6" t="s">
        <v>44</v>
      </c>
      <c r="F148" s="16" t="str">
        <f>IFERROR(((#REF!*C148)*0.02),"")</f>
        <v/>
      </c>
    </row>
    <row r="149" spans="5:6">
      <c r="E149" s="6" t="s">
        <v>44</v>
      </c>
      <c r="F149" s="16" t="str">
        <f>IFERROR(((#REF!*C149)*0.02),"")</f>
        <v/>
      </c>
    </row>
    <row r="150" spans="5:6">
      <c r="E150" s="6" t="s">
        <v>44</v>
      </c>
      <c r="F150" s="16" t="str">
        <f>IFERROR(((#REF!*C150)*0.02),"")</f>
        <v/>
      </c>
    </row>
    <row r="151" spans="5:6">
      <c r="E151" s="6" t="s">
        <v>44</v>
      </c>
      <c r="F151" s="16" t="str">
        <f>IFERROR(((#REF!*C151)*0.02),"")</f>
        <v/>
      </c>
    </row>
    <row r="152" spans="5:6">
      <c r="E152" s="6" t="s">
        <v>44</v>
      </c>
      <c r="F152" s="16" t="str">
        <f>IFERROR(((#REF!*C152)*0.02),"")</f>
        <v/>
      </c>
    </row>
    <row r="153" spans="5:6">
      <c r="E153" s="6" t="s">
        <v>44</v>
      </c>
      <c r="F153" s="16" t="str">
        <f>IFERROR(((#REF!*C153)*0.02),"")</f>
        <v/>
      </c>
    </row>
    <row r="154" spans="5:6">
      <c r="E154" s="6" t="s">
        <v>44</v>
      </c>
      <c r="F154" s="16" t="str">
        <f>IFERROR(((#REF!*C154)*0.02),"")</f>
        <v/>
      </c>
    </row>
    <row r="155" spans="5:6">
      <c r="E155" s="6" t="s">
        <v>44</v>
      </c>
      <c r="F155" s="16" t="str">
        <f>IFERROR(((#REF!*C155)*0.02),"")</f>
        <v/>
      </c>
    </row>
    <row r="156" spans="5:6">
      <c r="E156" s="6" t="s">
        <v>44</v>
      </c>
      <c r="F156" s="16" t="str">
        <f>IFERROR(((#REF!*C156)*0.02),"")</f>
        <v/>
      </c>
    </row>
    <row r="157" spans="5:6">
      <c r="E157" s="6" t="s">
        <v>44</v>
      </c>
      <c r="F157" s="16" t="str">
        <f>IFERROR(((#REF!*C157)*0.02),"")</f>
        <v/>
      </c>
    </row>
    <row r="158" spans="5:6">
      <c r="E158" s="6" t="s">
        <v>44</v>
      </c>
      <c r="F158" s="16" t="str">
        <f>IFERROR(((#REF!*C158)*0.02),"")</f>
        <v/>
      </c>
    </row>
    <row r="159" spans="5:6">
      <c r="E159" s="6" t="s">
        <v>44</v>
      </c>
      <c r="F159" s="16" t="str">
        <f>IFERROR(((#REF!*C159)*0.02),"")</f>
        <v/>
      </c>
    </row>
    <row r="160" spans="5:6">
      <c r="E160" s="6" t="s">
        <v>44</v>
      </c>
    </row>
    <row r="161" spans="5:5">
      <c r="E161" s="6" t="s">
        <v>44</v>
      </c>
    </row>
    <row r="162" spans="5:5">
      <c r="E162" s="6" t="s">
        <v>44</v>
      </c>
    </row>
    <row r="163" spans="5:5">
      <c r="E163" s="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Grid</vt:lpstr>
      <vt:lpstr>Confirmation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Belt</dc:creator>
  <cp:lastModifiedBy>Mark Yaeger</cp:lastModifiedBy>
  <dcterms:created xsi:type="dcterms:W3CDTF">2024-12-23T17:08:52Z</dcterms:created>
  <dcterms:modified xsi:type="dcterms:W3CDTF">2026-04-24T15:04:42Z</dcterms:modified>
</cp:coreProperties>
</file>