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yaeger/Documents/stem-order-mvp/modules/po_tools/grw_invoice_converter/templates/"/>
    </mc:Choice>
  </mc:AlternateContent>
  <xr:revisionPtr revIDLastSave="0" documentId="13_ncr:1_{9A24D62D-0836-EB4F-B74A-1A4B22E1D9BB}" xr6:coauthVersionLast="47" xr6:coauthVersionMax="47" xr10:uidLastSave="{00000000-0000-0000-0000-000000000000}"/>
  <bookViews>
    <workbookView xWindow="0" yWindow="660" windowWidth="29400" windowHeight="17240" xr2:uid="{178FDA28-D865-4059-A0DC-38FCCD67F6EC}"/>
  </bookViews>
  <sheets>
    <sheet name="Order Grid" sheetId="1" r:id="rId1"/>
    <sheet name="Confirmatio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E12" i="1"/>
  <c r="F9" i="1"/>
  <c r="G9" i="1" s="1"/>
  <c r="M9" i="1" s="1"/>
  <c r="F8" i="1"/>
  <c r="K8" i="1" s="1"/>
  <c r="F7" i="1"/>
  <c r="K7" i="1" s="1"/>
  <c r="F5" i="1"/>
  <c r="K5" i="1" s="1"/>
  <c r="F4" i="1"/>
  <c r="K4" i="1" s="1"/>
  <c r="F2" i="1"/>
  <c r="K2" i="1" s="1"/>
  <c r="F3" i="1"/>
  <c r="G3" i="1" s="1"/>
  <c r="K6" i="1" l="1"/>
  <c r="G2" i="1"/>
  <c r="G5" i="1"/>
  <c r="G4" i="1"/>
  <c r="M4" i="1" s="1"/>
  <c r="G8" i="1"/>
  <c r="M8" i="1" s="1"/>
  <c r="M5" i="1"/>
  <c r="K9" i="1"/>
  <c r="G7" i="1"/>
  <c r="M7" i="1" s="1"/>
  <c r="M6" i="1"/>
  <c r="M2" i="1"/>
  <c r="K3" i="1"/>
  <c r="M3" i="1"/>
  <c r="G12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A27" i="2"/>
  <c r="M12" i="1" l="1"/>
  <c r="K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</calcChain>
</file>

<file path=xl/sharedStrings.xml><?xml version="1.0" encoding="utf-8"?>
<sst xmlns="http://schemas.openxmlformats.org/spreadsheetml/2006/main" count="238" uniqueCount="51">
  <si>
    <t>Quantity</t>
  </si>
  <si>
    <t>Item Description</t>
  </si>
  <si>
    <t>Frontline</t>
  </si>
  <si>
    <t>FOB Case</t>
  </si>
  <si>
    <t>PK</t>
  </si>
  <si>
    <t>FOB Btl</t>
  </si>
  <si>
    <t>Account</t>
  </si>
  <si>
    <t>GRW Order #</t>
  </si>
  <si>
    <t>Item Number</t>
  </si>
  <si>
    <t>Lafite 2009 1x750ml</t>
  </si>
  <si>
    <t>Haut Brion 2009 1x 750ml</t>
  </si>
  <si>
    <t>Cos d'Estournel 2009 1x375ml</t>
  </si>
  <si>
    <t xml:space="preserve">Mouton 1999 1x375ml </t>
  </si>
  <si>
    <t>Cheval Blanc 1998 1x750ml</t>
  </si>
  <si>
    <t>Haut Brion 2010 1x750ml</t>
  </si>
  <si>
    <t xml:space="preserve">Lafite 1982 1x750ml </t>
  </si>
  <si>
    <t xml:space="preserve">Petrus 1989 1x750ml </t>
  </si>
  <si>
    <t>DRC Romanee St Vivant 2014 1x750ml</t>
  </si>
  <si>
    <t>DRC La Tache 2018 1x750ml</t>
  </si>
  <si>
    <t>Armand Rousseau Clos de Beze 1x750ml</t>
  </si>
  <si>
    <t>Dujac Bonnes Mares 2013 1x750ml</t>
  </si>
  <si>
    <t xml:space="preserve">Dujac Clos de la Roche 2012 1x750ml </t>
  </si>
  <si>
    <t xml:space="preserve">Dujac Echezeaux 2009 1x750ml </t>
  </si>
  <si>
    <t>Leroy NSG Aux Allots 2005 1x750ml</t>
  </si>
  <si>
    <t>Ponsot Clos de la Roche 2005 1x750ml</t>
  </si>
  <si>
    <t>Coche Dury Puligny Montrachet Enseigneres 2015 1x750ml</t>
  </si>
  <si>
    <t>Dom Perignon P2 1999 1x750ml</t>
  </si>
  <si>
    <t>Ausone 2009 1x750ml</t>
  </si>
  <si>
    <t>Dom Perignon P2 2002 1x750ml</t>
  </si>
  <si>
    <t>Giacomo Conterno Barolo Riserva 2008 1x750ml</t>
  </si>
  <si>
    <t xml:space="preserve">Giuseppe Rinaldi Barolo Brunate 2015 1x750ml </t>
  </si>
  <si>
    <t xml:space="preserve">JL Chave Hermitage 2004 1x750ml </t>
  </si>
  <si>
    <t>Ext Cost</t>
  </si>
  <si>
    <t>Ext Price</t>
  </si>
  <si>
    <t>SNGC</t>
  </si>
  <si>
    <t>Total</t>
  </si>
  <si>
    <t>STM Markup %</t>
  </si>
  <si>
    <t/>
  </si>
  <si>
    <t>Armand Rousseau Charmes Chambertin 2006 1x375ml</t>
  </si>
  <si>
    <t>Armand Rousseau Chambertin 2013 1x750ml</t>
  </si>
  <si>
    <t>Café Monarch</t>
  </si>
  <si>
    <t>S58672</t>
  </si>
  <si>
    <t>Domaine Dujac Echezeaux 2019 1/750ml</t>
  </si>
  <si>
    <t>Chateau Troplong Mondot 2005 1/750ml</t>
  </si>
  <si>
    <t xml:space="preserve">La Mission Haut Brion 2009 1/750ml </t>
  </si>
  <si>
    <t xml:space="preserve">Chateau Haut Brion 1998 1/750ml </t>
  </si>
  <si>
    <t xml:space="preserve">Chateau Mouton Rothschild 1982 1/750ml </t>
  </si>
  <si>
    <t>Domaine Ramonet Batard Montarchet 1/750ml</t>
  </si>
  <si>
    <t>Giacomo Conterno Barolo Riserva Monfortino 2004 1/750ml</t>
  </si>
  <si>
    <t>MacDonald Vineyards To-Kalon 3/750ml</t>
  </si>
  <si>
    <t>LEAVE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</si>
</sst>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_);[Red]\(\$#,##0.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Quicksand"/>
    </font>
    <font>
      <b/>
      <sz val="11"/>
      <color theme="1"/>
      <name val="Quicksand"/>
    </font>
    <font>
      <sz val="11"/>
      <name val="Arial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2" applyNumberFormat="1" applyFont="1"/>
    <xf numFmtId="44" fontId="2" fillId="0" borderId="0" xfId="2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0" fontId="2" fillId="2" borderId="0" xfId="0" applyFont="1" applyFill="1"/>
    <xf numFmtId="44" fontId="5" fillId="0" borderId="0" xfId="1" applyFont="1" applyAlignment="1">
      <alignment horizontal="center" wrapText="1"/>
    </xf>
    <xf numFmtId="9" fontId="7" fillId="0" borderId="0" xfId="2" applyFont="1" applyAlignment="1">
      <alignment horizontal="center"/>
    </xf>
    <xf numFmtId="10" fontId="2" fillId="0" borderId="0" xfId="2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44" fontId="2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4" fontId="5" fillId="0" borderId="1" xfId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44" fontId="6" fillId="0" borderId="1" xfId="1" applyFont="1" applyBorder="1"/>
    <xf numFmtId="0" fontId="6" fillId="0" borderId="1" xfId="0" applyFont="1" applyBorder="1" applyAlignment="1">
      <alignment horizontal="center"/>
    </xf>
    <xf numFmtId="0" fontId="8" fillId="2" borderId="1" xfId="0" applyFont="1" applyFill="1" applyBorder="1"/>
    <xf numFmtId="0" fontId="6" fillId="2" borderId="1" xfId="0" applyFont="1" applyFill="1" applyBorder="1"/>
    <xf numFmtId="44" fontId="6" fillId="2" borderId="1" xfId="1" applyFont="1" applyFill="1" applyBorder="1"/>
    <xf numFmtId="44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44" fontId="5" fillId="0" borderId="0" xfId="1" applyFont="1" applyAlignment="1">
      <alignment horizontal="center"/>
    </xf>
    <xf numFmtId="10" fontId="5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44" fontId="6" fillId="0" borderId="0" xfId="1" applyFont="1" applyAlignment="1">
      <alignment horizontal="center"/>
    </xf>
    <xf numFmtId="44" fontId="6" fillId="0" borderId="0" xfId="2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10" fontId="6" fillId="0" borderId="0" xfId="2" applyNumberFormat="1" applyFont="1" applyAlignment="1">
      <alignment horizontal="center"/>
    </xf>
    <xf numFmtId="0" fontId="8" fillId="2" borderId="0" xfId="0" applyFont="1" applyFill="1" applyAlignment="1">
      <alignment horizontal="center"/>
    </xf>
    <xf numFmtId="44" fontId="5" fillId="2" borderId="0" xfId="1" applyFont="1" applyFill="1" applyAlignment="1">
      <alignment horizontal="center"/>
    </xf>
    <xf numFmtId="44" fontId="6" fillId="2" borderId="0" xfId="1" applyFont="1" applyFill="1" applyAlignment="1">
      <alignment horizontal="center"/>
    </xf>
    <xf numFmtId="10" fontId="6" fillId="2" borderId="0" xfId="2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4" fontId="2" fillId="0" borderId="0" xfId="1" applyFont="1" applyAlignment="1">
      <alignment horizontal="center"/>
    </xf>
    <xf numFmtId="164" fontId="4" fillId="0" borderId="0" xfId="0" applyNumberFormat="1" applyFont="1" applyAlignment="1">
      <alignment horizontal="center"/>
    </xf>
    <xf numFmtId="44" fontId="2" fillId="0" borderId="0" xfId="2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44" fontId="5" fillId="3" borderId="0" xfId="1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44" fontId="2" fillId="3" borderId="0" xfId="1" applyFont="1" applyFill="1" applyAlignment="1">
      <alignment horizontal="center"/>
    </xf>
    <xf numFmtId="0" fontId="6" fillId="0" borderId="0" xfId="0" applyFont="1"/>
    <xf numFmtId="44" fontId="8" fillId="2" borderId="0" xfId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52D7-A6C2-4E8F-B4D4-EFFFD64F95DD}">
  <dimension ref="A1:R151"/>
  <sheetViews>
    <sheetView tabSelected="1" topLeftCell="B1" zoomScale="150" workbookViewId="0">
      <selection activeCell="L2" sqref="L2"/>
    </sheetView>
  </sheetViews>
  <sheetFormatPr baseColWidth="10" defaultColWidth="8.83203125" defaultRowHeight="15"/>
  <cols>
    <col min="1" max="1" width="12.5" style="3" bestFit="1" customWidth="1"/>
    <col min="2" max="2" width="58.83203125" style="4" bestFit="1" customWidth="1"/>
    <col min="3" max="3" width="12" style="3" customWidth="1"/>
    <col min="4" max="4" width="3.6640625" style="3" bestFit="1" customWidth="1"/>
    <col min="5" max="5" width="8.83203125" style="3" bestFit="1" customWidth="1"/>
    <col min="6" max="6" width="10.6640625" style="43" bestFit="1" customWidth="1"/>
    <col min="7" max="7" width="13.1640625" style="3" bestFit="1" customWidth="1"/>
    <col min="8" max="8" width="12.1640625" style="3" customWidth="1"/>
    <col min="9" max="9" width="2.6640625" style="51" customWidth="1"/>
    <col min="10" max="10" width="11.1640625" style="43" bestFit="1" customWidth="1"/>
    <col min="11" max="11" width="12.1640625" style="14" bestFit="1" customWidth="1"/>
    <col min="12" max="12" width="6.83203125" style="14" customWidth="1"/>
    <col min="13" max="13" width="12.33203125" style="14" bestFit="1" customWidth="1"/>
    <col min="14" max="14" width="12.83203125" style="3" customWidth="1"/>
    <col min="15" max="15" width="10" style="3" bestFit="1" customWidth="1"/>
    <col min="16" max="16" width="10.1640625" style="3" bestFit="1" customWidth="1"/>
    <col min="17" max="17" width="12.33203125" style="3" customWidth="1"/>
    <col min="18" max="18" width="18.33203125" style="3" customWidth="1"/>
    <col min="19" max="16384" width="8.83203125" style="3"/>
  </cols>
  <sheetData>
    <row r="1" spans="1:18" s="32" customFormat="1" ht="48">
      <c r="A1" s="8" t="s">
        <v>8</v>
      </c>
      <c r="B1" s="7" t="s">
        <v>1</v>
      </c>
      <c r="C1" s="8" t="s">
        <v>7</v>
      </c>
      <c r="D1" s="8" t="s">
        <v>4</v>
      </c>
      <c r="E1" s="8" t="s">
        <v>0</v>
      </c>
      <c r="F1" s="30" t="s">
        <v>5</v>
      </c>
      <c r="G1" s="30" t="s">
        <v>2</v>
      </c>
      <c r="H1" s="8" t="s">
        <v>6</v>
      </c>
      <c r="I1" s="47"/>
      <c r="J1" s="30" t="s">
        <v>3</v>
      </c>
      <c r="K1" s="30" t="s">
        <v>32</v>
      </c>
      <c r="L1" s="12" t="s">
        <v>36</v>
      </c>
      <c r="M1" s="30" t="s">
        <v>33</v>
      </c>
      <c r="N1" s="31"/>
      <c r="O1" s="8"/>
      <c r="P1" s="8"/>
      <c r="Q1" s="8"/>
      <c r="R1" s="8"/>
    </row>
    <row r="2" spans="1:18">
      <c r="A2" s="9" t="s">
        <v>50</v>
      </c>
      <c r="B2" s="52" t="s">
        <v>45</v>
      </c>
      <c r="C2" s="46" t="s">
        <v>41</v>
      </c>
      <c r="D2" s="52">
        <v>1</v>
      </c>
      <c r="E2" s="9">
        <v>1</v>
      </c>
      <c r="F2" s="33">
        <f t="shared" ref="F2:F9" si="0">J2/D2</f>
        <v>695</v>
      </c>
      <c r="G2" s="34">
        <f>CEILING((F2*1.15),1)</f>
        <v>800</v>
      </c>
      <c r="H2" s="9" t="s">
        <v>40</v>
      </c>
      <c r="I2" s="48"/>
      <c r="J2" s="33">
        <v>695</v>
      </c>
      <c r="K2" s="33">
        <f t="shared" ref="K2:K9" si="1">F2*E2</f>
        <v>695</v>
      </c>
      <c r="L2" s="13">
        <v>0.1</v>
      </c>
      <c r="M2" s="34">
        <f t="shared" ref="M2:M9" si="2">G2*E2</f>
        <v>800</v>
      </c>
      <c r="N2" s="35"/>
      <c r="O2" s="36"/>
      <c r="P2" s="34"/>
      <c r="Q2" s="36"/>
      <c r="R2" s="37"/>
    </row>
    <row r="3" spans="1:18">
      <c r="A3" s="9" t="s">
        <v>50</v>
      </c>
      <c r="B3" s="52" t="s">
        <v>44</v>
      </c>
      <c r="C3" s="46" t="s">
        <v>41</v>
      </c>
      <c r="D3" s="52">
        <v>1</v>
      </c>
      <c r="E3" s="9">
        <v>1</v>
      </c>
      <c r="F3" s="33">
        <f t="shared" si="0"/>
        <v>550</v>
      </c>
      <c r="G3" s="34">
        <f t="shared" ref="G3:G5" si="3">CEILING((F3*1.15),1)</f>
        <v>633</v>
      </c>
      <c r="H3" s="9" t="s">
        <v>40</v>
      </c>
      <c r="I3" s="48"/>
      <c r="J3" s="33">
        <v>550</v>
      </c>
      <c r="K3" s="33">
        <f t="shared" si="1"/>
        <v>550</v>
      </c>
      <c r="L3" s="13">
        <v>0.1</v>
      </c>
      <c r="M3" s="34">
        <f t="shared" si="2"/>
        <v>633</v>
      </c>
      <c r="N3" s="35"/>
      <c r="O3" s="36"/>
      <c r="P3" s="34"/>
      <c r="Q3" s="36"/>
      <c r="R3" s="37"/>
    </row>
    <row r="4" spans="1:18">
      <c r="A4" s="9" t="s">
        <v>50</v>
      </c>
      <c r="B4" s="52" t="s">
        <v>46</v>
      </c>
      <c r="C4" s="46" t="s">
        <v>41</v>
      </c>
      <c r="D4" s="52">
        <v>1</v>
      </c>
      <c r="E4" s="9">
        <v>1</v>
      </c>
      <c r="F4" s="33">
        <f t="shared" si="0"/>
        <v>1395</v>
      </c>
      <c r="G4" s="34">
        <f t="shared" si="3"/>
        <v>1605</v>
      </c>
      <c r="H4" s="9" t="s">
        <v>40</v>
      </c>
      <c r="I4" s="48"/>
      <c r="J4" s="33">
        <v>1395</v>
      </c>
      <c r="K4" s="33">
        <f t="shared" si="1"/>
        <v>1395</v>
      </c>
      <c r="L4" s="13">
        <v>0.1</v>
      </c>
      <c r="M4" s="34">
        <f t="shared" si="2"/>
        <v>1605</v>
      </c>
      <c r="N4" s="35"/>
      <c r="O4" s="36"/>
      <c r="P4" s="34"/>
      <c r="Q4" s="36"/>
      <c r="R4" s="37"/>
    </row>
    <row r="5" spans="1:18">
      <c r="A5" s="9" t="s">
        <v>50</v>
      </c>
      <c r="B5" s="52" t="s">
        <v>43</v>
      </c>
      <c r="C5" s="46" t="s">
        <v>41</v>
      </c>
      <c r="D5" s="52">
        <v>1</v>
      </c>
      <c r="E5" s="9">
        <v>1</v>
      </c>
      <c r="F5" s="33">
        <f t="shared" si="0"/>
        <v>285</v>
      </c>
      <c r="G5" s="34">
        <f t="shared" si="3"/>
        <v>328</v>
      </c>
      <c r="H5" s="9" t="s">
        <v>40</v>
      </c>
      <c r="I5" s="48"/>
      <c r="J5" s="33">
        <v>285</v>
      </c>
      <c r="K5" s="33">
        <f t="shared" si="1"/>
        <v>285</v>
      </c>
      <c r="L5" s="13">
        <v>0.1</v>
      </c>
      <c r="M5" s="34">
        <f t="shared" si="2"/>
        <v>328</v>
      </c>
      <c r="N5" s="35"/>
      <c r="O5" s="36"/>
      <c r="P5" s="34"/>
      <c r="Q5" s="36"/>
      <c r="R5" s="37"/>
    </row>
    <row r="6" spans="1:18">
      <c r="A6" s="9" t="s">
        <v>50</v>
      </c>
      <c r="B6" s="52" t="s">
        <v>42</v>
      </c>
      <c r="C6" s="46" t="s">
        <v>41</v>
      </c>
      <c r="D6" s="52">
        <v>1</v>
      </c>
      <c r="E6" s="9">
        <v>1</v>
      </c>
      <c r="F6" s="33">
        <f>J6/D6</f>
        <v>1044.75</v>
      </c>
      <c r="G6" s="34">
        <f>CEILING((F6*1.15/1.05),1)</f>
        <v>1145</v>
      </c>
      <c r="H6" s="9" t="s">
        <v>40</v>
      </c>
      <c r="I6" s="48"/>
      <c r="J6" s="33">
        <v>1044.75</v>
      </c>
      <c r="K6" s="33">
        <f t="shared" si="1"/>
        <v>1044.75</v>
      </c>
      <c r="L6" s="13">
        <v>0.15</v>
      </c>
      <c r="M6" s="34">
        <f t="shared" si="2"/>
        <v>1145</v>
      </c>
      <c r="N6" s="35"/>
      <c r="O6" s="36"/>
      <c r="P6" s="34"/>
      <c r="Q6" s="36"/>
      <c r="R6" s="37"/>
    </row>
    <row r="7" spans="1:18">
      <c r="A7" s="9" t="s">
        <v>50</v>
      </c>
      <c r="B7" s="52" t="s">
        <v>47</v>
      </c>
      <c r="C7" s="46" t="s">
        <v>41</v>
      </c>
      <c r="D7" s="52">
        <v>1</v>
      </c>
      <c r="E7" s="9">
        <v>1</v>
      </c>
      <c r="F7" s="33">
        <f t="shared" si="0"/>
        <v>1254.75</v>
      </c>
      <c r="G7" s="34">
        <f t="shared" ref="G7:G9" si="4">CEILING((F7*1.15/1.05),1)</f>
        <v>1375</v>
      </c>
      <c r="H7" s="9" t="s">
        <v>40</v>
      </c>
      <c r="I7" s="48"/>
      <c r="J7" s="33">
        <v>1254.75</v>
      </c>
      <c r="K7" s="33">
        <f t="shared" si="1"/>
        <v>1254.75</v>
      </c>
      <c r="L7" s="13">
        <v>0.15</v>
      </c>
      <c r="M7" s="34">
        <f t="shared" si="2"/>
        <v>1375</v>
      </c>
      <c r="N7" s="35"/>
      <c r="O7" s="36"/>
      <c r="P7" s="34"/>
      <c r="Q7" s="36"/>
      <c r="R7" s="37"/>
    </row>
    <row r="8" spans="1:18">
      <c r="A8" s="9" t="s">
        <v>50</v>
      </c>
      <c r="B8" s="52" t="s">
        <v>48</v>
      </c>
      <c r="C8" s="46" t="s">
        <v>41</v>
      </c>
      <c r="D8" s="52">
        <v>1</v>
      </c>
      <c r="E8" s="9">
        <v>1</v>
      </c>
      <c r="F8" s="33">
        <f t="shared" si="0"/>
        <v>1312.5</v>
      </c>
      <c r="G8" s="34">
        <f t="shared" si="4"/>
        <v>1438</v>
      </c>
      <c r="H8" s="9" t="s">
        <v>40</v>
      </c>
      <c r="I8" s="48"/>
      <c r="J8" s="33">
        <v>1312.5</v>
      </c>
      <c r="K8" s="33">
        <f t="shared" si="1"/>
        <v>1312.5</v>
      </c>
      <c r="L8" s="13">
        <v>0.15</v>
      </c>
      <c r="M8" s="34">
        <f t="shared" si="2"/>
        <v>1438</v>
      </c>
      <c r="N8" s="35"/>
      <c r="O8" s="36"/>
      <c r="P8" s="34"/>
      <c r="Q8" s="36"/>
      <c r="R8" s="37"/>
    </row>
    <row r="9" spans="1:18">
      <c r="A9" s="9" t="s">
        <v>50</v>
      </c>
      <c r="B9" s="52" t="s">
        <v>49</v>
      </c>
      <c r="C9" s="46" t="s">
        <v>41</v>
      </c>
      <c r="D9" s="52">
        <v>3</v>
      </c>
      <c r="E9" s="9">
        <v>3</v>
      </c>
      <c r="F9" s="33">
        <f t="shared" si="0"/>
        <v>733.25</v>
      </c>
      <c r="G9" s="34">
        <f t="shared" si="4"/>
        <v>804</v>
      </c>
      <c r="H9" s="9" t="s">
        <v>40</v>
      </c>
      <c r="I9" s="48"/>
      <c r="J9" s="33">
        <v>2199.75</v>
      </c>
      <c r="K9" s="33">
        <f t="shared" si="1"/>
        <v>2199.75</v>
      </c>
      <c r="L9" s="13">
        <v>0.15</v>
      </c>
      <c r="M9" s="34">
        <f t="shared" si="2"/>
        <v>2412</v>
      </c>
      <c r="N9" s="35"/>
      <c r="O9" s="36"/>
      <c r="P9" s="34"/>
      <c r="Q9" s="36"/>
      <c r="R9" s="37"/>
    </row>
    <row r="10" spans="1:18">
      <c r="A10" s="9"/>
      <c r="B10" s="52"/>
      <c r="C10" s="46"/>
      <c r="D10" s="52"/>
      <c r="E10" s="9"/>
      <c r="F10" s="33"/>
      <c r="G10" s="34"/>
      <c r="H10" s="9"/>
      <c r="I10" s="48"/>
      <c r="J10" s="33"/>
      <c r="K10" s="33"/>
      <c r="L10" s="13"/>
      <c r="M10" s="34"/>
      <c r="N10" s="35"/>
      <c r="O10" s="36"/>
      <c r="P10" s="34"/>
      <c r="Q10" s="36"/>
      <c r="R10" s="37"/>
    </row>
    <row r="11" spans="1:18">
      <c r="A11" s="9"/>
      <c r="B11" s="52"/>
      <c r="C11" s="46"/>
      <c r="D11" s="52"/>
      <c r="E11" s="9"/>
      <c r="F11" s="33"/>
      <c r="G11" s="34"/>
      <c r="H11" s="9"/>
      <c r="I11" s="48"/>
      <c r="J11" s="33"/>
      <c r="K11" s="33"/>
      <c r="L11" s="13"/>
      <c r="M11" s="34"/>
      <c r="N11" s="35"/>
      <c r="O11" s="36"/>
      <c r="P11" s="34"/>
      <c r="Q11" s="36"/>
      <c r="R11" s="37"/>
    </row>
    <row r="12" spans="1:18" s="42" customFormat="1">
      <c r="A12" s="15" t="s">
        <v>35</v>
      </c>
      <c r="B12" s="10"/>
      <c r="C12" s="15"/>
      <c r="D12" s="15"/>
      <c r="E12" s="38">
        <f>SUM(E2:E9)</f>
        <v>10</v>
      </c>
      <c r="F12" s="39"/>
      <c r="G12" s="40" t="str">
        <f>IFERROR((#REF!*#REF!),"")</f>
        <v/>
      </c>
      <c r="H12" s="15"/>
      <c r="I12" s="47"/>
      <c r="J12" s="39"/>
      <c r="K12" s="53">
        <f>SUM(K2:K9)</f>
        <v>8736.75</v>
      </c>
      <c r="L12" s="40"/>
      <c r="M12" s="53">
        <f>SUM(M2:M9)</f>
        <v>9736</v>
      </c>
      <c r="N12" s="53"/>
      <c r="O12" s="53"/>
      <c r="P12" s="53"/>
      <c r="Q12" s="53"/>
      <c r="R12" s="41"/>
    </row>
    <row r="13" spans="1:18">
      <c r="F13" s="3"/>
      <c r="H13" s="16" t="str">
        <f>IFERROR(((#REF!*A13)*0.02),"")</f>
        <v/>
      </c>
      <c r="I13" s="49"/>
      <c r="M13" s="45" t="str">
        <f>IFERROR(((#REF!*D13)-#REF!),"")</f>
        <v/>
      </c>
      <c r="N13" s="43"/>
      <c r="O13" s="16"/>
      <c r="Q13" s="36"/>
      <c r="R13" s="9"/>
    </row>
    <row r="14" spans="1:18">
      <c r="F14" s="44" t="str">
        <f>IFERROR((#REF!/D14),"")</f>
        <v/>
      </c>
      <c r="H14" s="16" t="str">
        <f>IFERROR(((#REF!*A14)*0.02),"")</f>
        <v/>
      </c>
      <c r="I14" s="50"/>
      <c r="M14" s="45" t="str">
        <f>IFERROR(((#REF!*D14)-#REF!),"")</f>
        <v/>
      </c>
      <c r="N14" s="43"/>
      <c r="O14" s="16"/>
    </row>
    <row r="15" spans="1:18">
      <c r="F15" s="44" t="str">
        <f>IFERROR((#REF!/D15),"")</f>
        <v/>
      </c>
      <c r="H15" s="16" t="str">
        <f>IFERROR(((#REF!*A15)*0.02),"")</f>
        <v/>
      </c>
      <c r="I15" s="50"/>
      <c r="M15" s="45" t="str">
        <f>IFERROR(((#REF!*D15)-#REF!),"")</f>
        <v/>
      </c>
      <c r="N15" s="43"/>
      <c r="O15" s="16"/>
    </row>
    <row r="16" spans="1:18">
      <c r="F16" s="44" t="str">
        <f>IFERROR((#REF!/D16),"")</f>
        <v/>
      </c>
      <c r="H16" s="16" t="str">
        <f>IFERROR(((#REF!*A16)*0.02),"")</f>
        <v/>
      </c>
      <c r="I16" s="50"/>
      <c r="M16" s="45" t="str">
        <f>IFERROR(((#REF!*D16)-#REF!),"")</f>
        <v/>
      </c>
      <c r="N16" s="43"/>
      <c r="O16" s="16"/>
    </row>
    <row r="17" spans="6:15">
      <c r="F17" s="44" t="str">
        <f>IFERROR((#REF!/D17),"")</f>
        <v/>
      </c>
      <c r="H17" s="16" t="str">
        <f>IFERROR(((#REF!*A17)*0.02),"")</f>
        <v/>
      </c>
      <c r="I17" s="50"/>
      <c r="M17" s="45" t="str">
        <f>IFERROR(((#REF!*D17)-#REF!),"")</f>
        <v/>
      </c>
      <c r="N17" s="43"/>
      <c r="O17" s="16"/>
    </row>
    <row r="18" spans="6:15">
      <c r="F18" s="44" t="str">
        <f>IFERROR((#REF!/D18),"")</f>
        <v/>
      </c>
      <c r="H18" s="16" t="str">
        <f>IFERROR(((#REF!*A18)*0.02),"")</f>
        <v/>
      </c>
      <c r="I18" s="50"/>
      <c r="M18" s="45" t="str">
        <f>IFERROR(((#REF!*D18)-#REF!),"")</f>
        <v/>
      </c>
      <c r="N18" s="43"/>
      <c r="O18" s="16"/>
    </row>
    <row r="19" spans="6:15">
      <c r="F19" s="44" t="str">
        <f>IFERROR((#REF!/D19),"")</f>
        <v/>
      </c>
      <c r="H19" s="16" t="str">
        <f>IFERROR(((#REF!*A19)*0.02),"")</f>
        <v/>
      </c>
      <c r="I19" s="50"/>
      <c r="M19" s="45" t="str">
        <f>IFERROR(((#REF!*D19)-#REF!),"")</f>
        <v/>
      </c>
      <c r="N19" s="43"/>
      <c r="O19" s="16"/>
    </row>
    <row r="20" spans="6:15">
      <c r="F20" s="44" t="str">
        <f>IFERROR((#REF!/D20),"")</f>
        <v/>
      </c>
      <c r="H20" s="16" t="str">
        <f>IFERROR(((#REF!*A20)*0.02),"")</f>
        <v/>
      </c>
      <c r="I20" s="50"/>
      <c r="M20" s="45" t="str">
        <f>IFERROR(((#REF!*D20)-#REF!),"")</f>
        <v/>
      </c>
      <c r="N20" s="43"/>
      <c r="O20" s="16"/>
    </row>
    <row r="21" spans="6:15">
      <c r="F21" s="44" t="str">
        <f>IFERROR((#REF!/D21),"")</f>
        <v/>
      </c>
      <c r="H21" s="16" t="str">
        <f>IFERROR(((#REF!*A21)*0.02),"")</f>
        <v/>
      </c>
      <c r="I21" s="50"/>
      <c r="M21" s="45" t="str">
        <f>IFERROR(((#REF!*D21)-#REF!),"")</f>
        <v/>
      </c>
      <c r="N21" s="43"/>
      <c r="O21" s="16"/>
    </row>
    <row r="22" spans="6:15">
      <c r="F22" s="44" t="str">
        <f>IFERROR((#REF!/D22),"")</f>
        <v/>
      </c>
      <c r="H22" s="16" t="str">
        <f>IFERROR(((#REF!*A22)*0.02),"")</f>
        <v/>
      </c>
      <c r="I22" s="50"/>
      <c r="M22" s="45" t="str">
        <f>IFERROR(((#REF!*D22)-#REF!),"")</f>
        <v/>
      </c>
      <c r="N22" s="43"/>
      <c r="O22" s="16"/>
    </row>
    <row r="23" spans="6:15">
      <c r="F23" s="44" t="str">
        <f>IFERROR((#REF!/D23),"")</f>
        <v/>
      </c>
      <c r="H23" s="16" t="str">
        <f>IFERROR(((#REF!*A23)*0.02),"")</f>
        <v/>
      </c>
      <c r="I23" s="50"/>
      <c r="M23" s="45" t="str">
        <f>IFERROR(((#REF!*D23)-#REF!),"")</f>
        <v/>
      </c>
      <c r="N23" s="43"/>
      <c r="O23" s="16"/>
    </row>
    <row r="24" spans="6:15">
      <c r="F24" s="44" t="str">
        <f>IFERROR((#REF!/D24),"")</f>
        <v/>
      </c>
      <c r="H24" s="16" t="str">
        <f>IFERROR(((#REF!*A24)*0.02),"")</f>
        <v/>
      </c>
      <c r="I24" s="50"/>
      <c r="M24" s="45" t="str">
        <f>IFERROR(((#REF!*D24)-#REF!),"")</f>
        <v/>
      </c>
      <c r="N24" s="43"/>
      <c r="O24" s="16"/>
    </row>
    <row r="25" spans="6:15">
      <c r="F25" s="44" t="str">
        <f>IFERROR((#REF!/D25),"")</f>
        <v/>
      </c>
      <c r="H25" s="16" t="str">
        <f>IFERROR(((#REF!*A25)*0.02),"")</f>
        <v/>
      </c>
      <c r="I25" s="50"/>
      <c r="M25" s="45" t="str">
        <f>IFERROR(((#REF!*D25)-#REF!),"")</f>
        <v/>
      </c>
      <c r="N25" s="43"/>
      <c r="O25" s="16"/>
    </row>
    <row r="26" spans="6:15">
      <c r="F26" s="44" t="str">
        <f>IFERROR((#REF!/D26),"")</f>
        <v/>
      </c>
      <c r="H26" s="16" t="str">
        <f>IFERROR(((#REF!*A26)*0.02),"")</f>
        <v/>
      </c>
      <c r="I26" s="50"/>
      <c r="M26" s="45" t="str">
        <f>IFERROR(((#REF!*D26)-#REF!),"")</f>
        <v/>
      </c>
      <c r="N26" s="43"/>
      <c r="O26" s="16"/>
    </row>
    <row r="27" spans="6:15">
      <c r="F27" s="44" t="str">
        <f>IFERROR((#REF!/D27),"")</f>
        <v/>
      </c>
      <c r="H27" s="16" t="str">
        <f>IFERROR(((#REF!*A27)*0.02),"")</f>
        <v/>
      </c>
      <c r="I27" s="50"/>
      <c r="M27" s="45" t="str">
        <f>IFERROR(((#REF!*D27)-#REF!),"")</f>
        <v/>
      </c>
      <c r="N27" s="43"/>
      <c r="O27" s="16"/>
    </row>
    <row r="28" spans="6:15">
      <c r="F28" s="44" t="str">
        <f>IFERROR((#REF!/D28),"")</f>
        <v/>
      </c>
      <c r="H28" s="16" t="str">
        <f>IFERROR(((#REF!*A28)*0.02),"")</f>
        <v/>
      </c>
      <c r="I28" s="50"/>
      <c r="M28" s="45" t="str">
        <f>IFERROR(((#REF!*D28)-#REF!),"")</f>
        <v/>
      </c>
      <c r="N28" s="43"/>
      <c r="O28" s="16"/>
    </row>
    <row r="29" spans="6:15">
      <c r="F29" s="44" t="str">
        <f>IFERROR((#REF!/D29),"")</f>
        <v/>
      </c>
      <c r="H29" s="16" t="str">
        <f>IFERROR(((#REF!*A29)*0.02),"")</f>
        <v/>
      </c>
      <c r="I29" s="50"/>
      <c r="M29" s="45" t="str">
        <f>IFERROR(((#REF!*D29)-#REF!),"")</f>
        <v/>
      </c>
      <c r="N29" s="43"/>
      <c r="O29" s="16"/>
    </row>
    <row r="30" spans="6:15">
      <c r="F30" s="44" t="str">
        <f>IFERROR((#REF!/D30),"")</f>
        <v/>
      </c>
      <c r="H30" s="16" t="str">
        <f>IFERROR(((#REF!*A30)*0.02),"")</f>
        <v/>
      </c>
      <c r="I30" s="50"/>
      <c r="M30" s="45" t="str">
        <f>IFERROR(((#REF!*D30)-#REF!),"")</f>
        <v/>
      </c>
      <c r="N30" s="43"/>
      <c r="O30" s="16"/>
    </row>
    <row r="31" spans="6:15">
      <c r="F31" s="44" t="str">
        <f>IFERROR((#REF!/D31),"")</f>
        <v/>
      </c>
      <c r="H31" s="16" t="str">
        <f>IFERROR(((#REF!*A31)*0.02),"")</f>
        <v/>
      </c>
      <c r="I31" s="50"/>
      <c r="M31" s="45" t="str">
        <f>IFERROR(((#REF!*D31)-#REF!),"")</f>
        <v/>
      </c>
      <c r="N31" s="43"/>
      <c r="O31" s="16"/>
    </row>
    <row r="32" spans="6:15">
      <c r="F32" s="44" t="str">
        <f>IFERROR((#REF!/D32),"")</f>
        <v/>
      </c>
      <c r="H32" s="16" t="str">
        <f>IFERROR(((#REF!*A32)*0.02),"")</f>
        <v/>
      </c>
      <c r="I32" s="50"/>
      <c r="M32" s="45" t="str">
        <f>IFERROR(((#REF!*D32)-#REF!),"")</f>
        <v/>
      </c>
      <c r="N32" s="43"/>
      <c r="O32" s="16"/>
    </row>
    <row r="33" spans="6:15">
      <c r="F33" s="44" t="str">
        <f>IFERROR((#REF!/D33),"")</f>
        <v/>
      </c>
      <c r="H33" s="16" t="str">
        <f>IFERROR(((#REF!*A33)*0.02),"")</f>
        <v/>
      </c>
      <c r="I33" s="50"/>
      <c r="M33" s="45" t="str">
        <f>IFERROR(((#REF!*D33)-#REF!),"")</f>
        <v/>
      </c>
      <c r="N33" s="43"/>
      <c r="O33" s="16"/>
    </row>
    <row r="34" spans="6:15">
      <c r="F34" s="44" t="str">
        <f>IFERROR((#REF!/D34),"")</f>
        <v/>
      </c>
      <c r="H34" s="16" t="str">
        <f>IFERROR(((#REF!*A34)*0.02),"")</f>
        <v/>
      </c>
      <c r="I34" s="50"/>
      <c r="M34" s="45" t="str">
        <f>IFERROR(((#REF!*D34)-#REF!),"")</f>
        <v/>
      </c>
      <c r="N34" s="43"/>
      <c r="O34" s="16"/>
    </row>
    <row r="35" spans="6:15">
      <c r="F35" s="44" t="str">
        <f>IFERROR((#REF!/D35),"")</f>
        <v/>
      </c>
      <c r="H35" s="16" t="str">
        <f>IFERROR(((#REF!*A35)*0.02),"")</f>
        <v/>
      </c>
      <c r="I35" s="50"/>
      <c r="M35" s="45" t="str">
        <f>IFERROR(((#REF!*D35)-#REF!),"")</f>
        <v/>
      </c>
      <c r="N35" s="43"/>
      <c r="O35" s="16"/>
    </row>
    <row r="36" spans="6:15">
      <c r="F36" s="44" t="str">
        <f>IFERROR((#REF!/D36),"")</f>
        <v/>
      </c>
      <c r="H36" s="16" t="str">
        <f>IFERROR(((#REF!*A36)*0.02),"")</f>
        <v/>
      </c>
      <c r="I36" s="50"/>
      <c r="M36" s="45" t="str">
        <f>IFERROR(((#REF!*D36)-#REF!),"")</f>
        <v/>
      </c>
      <c r="N36" s="43"/>
      <c r="O36" s="16"/>
    </row>
    <row r="37" spans="6:15">
      <c r="F37" s="44" t="str">
        <f>IFERROR((#REF!/D37),"")</f>
        <v/>
      </c>
      <c r="H37" s="16" t="str">
        <f>IFERROR(((#REF!*A37)*0.02),"")</f>
        <v/>
      </c>
      <c r="I37" s="50"/>
      <c r="M37" s="45" t="str">
        <f>IFERROR(((#REF!*D37)-#REF!),"")</f>
        <v/>
      </c>
      <c r="N37" s="43"/>
      <c r="O37" s="16"/>
    </row>
    <row r="38" spans="6:15">
      <c r="F38" s="44" t="str">
        <f>IFERROR((#REF!/D38),"")</f>
        <v/>
      </c>
      <c r="H38" s="16" t="str">
        <f>IFERROR(((#REF!*A38)*0.02),"")</f>
        <v/>
      </c>
      <c r="I38" s="50"/>
      <c r="M38" s="45" t="str">
        <f>IFERROR(((#REF!*D38)-#REF!),"")</f>
        <v/>
      </c>
      <c r="N38" s="43"/>
      <c r="O38" s="16"/>
    </row>
    <row r="39" spans="6:15">
      <c r="F39" s="44" t="str">
        <f>IFERROR((#REF!/D39),"")</f>
        <v/>
      </c>
      <c r="H39" s="16" t="str">
        <f>IFERROR(((#REF!*A39)*0.02),"")</f>
        <v/>
      </c>
      <c r="I39" s="50"/>
      <c r="M39" s="45" t="str">
        <f>IFERROR(((#REF!*D39)-#REF!),"")</f>
        <v/>
      </c>
      <c r="N39" s="43"/>
      <c r="O39" s="16"/>
    </row>
    <row r="40" spans="6:15">
      <c r="F40" s="44" t="str">
        <f>IFERROR((#REF!/D40),"")</f>
        <v/>
      </c>
      <c r="H40" s="16" t="str">
        <f>IFERROR(((#REF!*A40)*0.02),"")</f>
        <v/>
      </c>
      <c r="I40" s="50"/>
      <c r="M40" s="45" t="str">
        <f>IFERROR(((#REF!*D40)-#REF!),"")</f>
        <v/>
      </c>
      <c r="N40" s="43"/>
      <c r="O40" s="16"/>
    </row>
    <row r="41" spans="6:15">
      <c r="F41" s="44" t="str">
        <f>IFERROR((#REF!/D41),"")</f>
        <v/>
      </c>
      <c r="H41" s="16" t="str">
        <f>IFERROR(((#REF!*A41)*0.02),"")</f>
        <v/>
      </c>
      <c r="I41" s="50"/>
      <c r="M41" s="45" t="str">
        <f>IFERROR(((#REF!*D41)-#REF!),"")</f>
        <v/>
      </c>
      <c r="N41" s="43"/>
      <c r="O41" s="16"/>
    </row>
    <row r="42" spans="6:15">
      <c r="F42" s="44" t="str">
        <f>IFERROR((#REF!/D42),"")</f>
        <v/>
      </c>
      <c r="H42" s="16" t="str">
        <f>IFERROR(((#REF!*A42)*0.02),"")</f>
        <v/>
      </c>
      <c r="I42" s="50"/>
      <c r="M42" s="45" t="str">
        <f>IFERROR(((#REF!*D42)-#REF!),"")</f>
        <v/>
      </c>
      <c r="N42" s="43"/>
      <c r="O42" s="16"/>
    </row>
    <row r="43" spans="6:15">
      <c r="F43" s="44" t="str">
        <f>IFERROR((#REF!/D43),"")</f>
        <v/>
      </c>
      <c r="H43" s="16" t="str">
        <f>IFERROR(((#REF!*A43)*0.02),"")</f>
        <v/>
      </c>
      <c r="I43" s="50"/>
      <c r="M43" s="45" t="str">
        <f>IFERROR(((#REF!*D43)-#REF!),"")</f>
        <v/>
      </c>
      <c r="N43" s="43"/>
      <c r="O43" s="16"/>
    </row>
    <row r="44" spans="6:15">
      <c r="F44" s="44" t="str">
        <f>IFERROR((#REF!/D44),"")</f>
        <v/>
      </c>
      <c r="H44" s="16" t="str">
        <f>IFERROR(((#REF!*A44)*0.02),"")</f>
        <v/>
      </c>
      <c r="I44" s="50"/>
      <c r="M44" s="45" t="str">
        <f>IFERROR(((#REF!*D44)-#REF!),"")</f>
        <v/>
      </c>
      <c r="N44" s="43"/>
      <c r="O44" s="16"/>
    </row>
    <row r="45" spans="6:15">
      <c r="F45" s="44" t="str">
        <f>IFERROR((#REF!/D45),"")</f>
        <v/>
      </c>
      <c r="H45" s="16" t="str">
        <f>IFERROR(((#REF!*A45)*0.02),"")</f>
        <v/>
      </c>
      <c r="I45" s="50"/>
      <c r="M45" s="45" t="str">
        <f>IFERROR(((#REF!*D45)-#REF!),"")</f>
        <v/>
      </c>
      <c r="N45" s="43"/>
      <c r="O45" s="16"/>
    </row>
    <row r="46" spans="6:15">
      <c r="F46" s="44" t="str">
        <f>IFERROR((#REF!/D46),"")</f>
        <v/>
      </c>
      <c r="H46" s="16" t="str">
        <f>IFERROR(((#REF!*A46)*0.02),"")</f>
        <v/>
      </c>
      <c r="I46" s="50"/>
      <c r="M46" s="45" t="str">
        <f>IFERROR(((#REF!*D46)-#REF!),"")</f>
        <v/>
      </c>
      <c r="N46" s="43"/>
      <c r="O46" s="16"/>
    </row>
    <row r="47" spans="6:15">
      <c r="F47" s="44" t="str">
        <f>IFERROR((#REF!/D47),"")</f>
        <v/>
      </c>
      <c r="H47" s="16" t="str">
        <f>IFERROR(((#REF!*A47)*0.02),"")</f>
        <v/>
      </c>
      <c r="I47" s="50"/>
      <c r="M47" s="45" t="str">
        <f>IFERROR(((#REF!*D47)-#REF!),"")</f>
        <v/>
      </c>
      <c r="N47" s="43"/>
      <c r="O47" s="16"/>
    </row>
    <row r="48" spans="6:15">
      <c r="F48" s="44" t="str">
        <f>IFERROR((#REF!/D48),"")</f>
        <v/>
      </c>
      <c r="H48" s="16" t="str">
        <f>IFERROR(((#REF!*A48)*0.02),"")</f>
        <v/>
      </c>
      <c r="I48" s="50"/>
      <c r="M48" s="45" t="str">
        <f>IFERROR(((#REF!*D48)-#REF!),"")</f>
        <v/>
      </c>
      <c r="N48" s="43"/>
      <c r="O48" s="16"/>
    </row>
    <row r="49" spans="6:15">
      <c r="F49" s="44" t="str">
        <f>IFERROR((#REF!/D49),"")</f>
        <v/>
      </c>
      <c r="H49" s="16" t="str">
        <f>IFERROR(((#REF!*A49)*0.02),"")</f>
        <v/>
      </c>
      <c r="I49" s="50"/>
      <c r="M49" s="45" t="str">
        <f>IFERROR(((#REF!*D49)-#REF!),"")</f>
        <v/>
      </c>
      <c r="N49" s="43"/>
      <c r="O49" s="16"/>
    </row>
    <row r="50" spans="6:15">
      <c r="F50" s="44" t="str">
        <f>IFERROR((#REF!/D50),"")</f>
        <v/>
      </c>
      <c r="H50" s="16" t="str">
        <f>IFERROR(((#REF!*A50)*0.02),"")</f>
        <v/>
      </c>
      <c r="I50" s="50"/>
      <c r="M50" s="45" t="str">
        <f>IFERROR(((#REF!*D50)-#REF!),"")</f>
        <v/>
      </c>
      <c r="N50" s="43"/>
      <c r="O50" s="16"/>
    </row>
    <row r="51" spans="6:15">
      <c r="F51" s="44" t="str">
        <f>IFERROR((#REF!/D51),"")</f>
        <v/>
      </c>
      <c r="H51" s="16" t="str">
        <f>IFERROR(((#REF!*A51)*0.02),"")</f>
        <v/>
      </c>
      <c r="I51" s="50"/>
      <c r="M51" s="45" t="str">
        <f>IFERROR(((#REF!*D51)-#REF!),"")</f>
        <v/>
      </c>
      <c r="N51" s="43"/>
      <c r="O51" s="16"/>
    </row>
    <row r="52" spans="6:15">
      <c r="F52" s="44" t="str">
        <f>IFERROR((#REF!/D52),"")</f>
        <v/>
      </c>
      <c r="H52" s="16" t="str">
        <f>IFERROR(((#REF!*A52)*0.02),"")</f>
        <v/>
      </c>
      <c r="I52" s="50"/>
      <c r="M52" s="45" t="str">
        <f>IFERROR(((#REF!*D52)-#REF!),"")</f>
        <v/>
      </c>
      <c r="N52" s="43"/>
      <c r="O52" s="16"/>
    </row>
    <row r="53" spans="6:15">
      <c r="F53" s="44" t="str">
        <f>IFERROR((#REF!/D53),"")</f>
        <v/>
      </c>
      <c r="H53" s="16" t="str">
        <f>IFERROR(((#REF!*A53)*0.02),"")</f>
        <v/>
      </c>
      <c r="I53" s="50"/>
      <c r="M53" s="45" t="str">
        <f>IFERROR(((#REF!*D53)-#REF!),"")</f>
        <v/>
      </c>
      <c r="N53" s="43"/>
      <c r="O53" s="16"/>
    </row>
    <row r="54" spans="6:15">
      <c r="F54" s="44" t="str">
        <f>IFERROR((#REF!/D54),"")</f>
        <v/>
      </c>
      <c r="H54" s="16" t="str">
        <f>IFERROR(((#REF!*A54)*0.02),"")</f>
        <v/>
      </c>
      <c r="I54" s="50"/>
      <c r="M54" s="45" t="str">
        <f>IFERROR(((#REF!*D54)-#REF!),"")</f>
        <v/>
      </c>
      <c r="N54" s="43"/>
      <c r="O54" s="16"/>
    </row>
    <row r="55" spans="6:15">
      <c r="F55" s="44" t="str">
        <f>IFERROR((#REF!/D55),"")</f>
        <v/>
      </c>
      <c r="H55" s="16" t="str">
        <f>IFERROR(((#REF!*A55)*0.02),"")</f>
        <v/>
      </c>
      <c r="I55" s="50"/>
      <c r="M55" s="45" t="str">
        <f>IFERROR(((#REF!*D55)-#REF!),"")</f>
        <v/>
      </c>
      <c r="N55" s="43"/>
      <c r="O55" s="16"/>
    </row>
    <row r="56" spans="6:15">
      <c r="F56" s="44" t="str">
        <f>IFERROR((#REF!/D56),"")</f>
        <v/>
      </c>
      <c r="H56" s="16" t="str">
        <f>IFERROR(((#REF!*A56)*0.02),"")</f>
        <v/>
      </c>
      <c r="I56" s="50"/>
      <c r="M56" s="45" t="str">
        <f>IFERROR(((#REF!*D56)-#REF!),"")</f>
        <v/>
      </c>
      <c r="N56" s="43"/>
      <c r="O56" s="16"/>
    </row>
    <row r="57" spans="6:15">
      <c r="F57" s="44" t="str">
        <f>IFERROR((#REF!/D57),"")</f>
        <v/>
      </c>
      <c r="H57" s="16" t="str">
        <f>IFERROR(((#REF!*A57)*0.02),"")</f>
        <v/>
      </c>
      <c r="I57" s="50"/>
      <c r="M57" s="45" t="str">
        <f>IFERROR(((#REF!*D57)-#REF!),"")</f>
        <v/>
      </c>
      <c r="N57" s="43"/>
      <c r="O57" s="16"/>
    </row>
    <row r="58" spans="6:15">
      <c r="F58" s="44" t="str">
        <f>IFERROR((#REF!/D58),"")</f>
        <v/>
      </c>
      <c r="H58" s="16" t="str">
        <f>IFERROR(((#REF!*A58)*0.02),"")</f>
        <v/>
      </c>
      <c r="I58" s="50"/>
      <c r="M58" s="45" t="str">
        <f>IFERROR(((#REF!*D58)-#REF!),"")</f>
        <v/>
      </c>
      <c r="N58" s="43"/>
      <c r="O58" s="16"/>
    </row>
    <row r="59" spans="6:15">
      <c r="F59" s="44" t="str">
        <f>IFERROR((#REF!/D59),"")</f>
        <v/>
      </c>
      <c r="H59" s="16" t="str">
        <f>IFERROR(((#REF!*A59)*0.02),"")</f>
        <v/>
      </c>
      <c r="I59" s="50"/>
      <c r="M59" s="45" t="str">
        <f>IFERROR(((#REF!*D59)-#REF!),"")</f>
        <v/>
      </c>
      <c r="N59" s="43"/>
      <c r="O59" s="16"/>
    </row>
    <row r="60" spans="6:15">
      <c r="F60" s="44" t="str">
        <f>IFERROR((#REF!/D60),"")</f>
        <v/>
      </c>
      <c r="H60" s="16" t="str">
        <f>IFERROR(((#REF!*A60)*0.02),"")</f>
        <v/>
      </c>
      <c r="I60" s="50"/>
      <c r="M60" s="45" t="str">
        <f>IFERROR(((#REF!*D60)-#REF!),"")</f>
        <v/>
      </c>
      <c r="N60" s="43"/>
      <c r="O60" s="16"/>
    </row>
    <row r="61" spans="6:15">
      <c r="F61" s="44" t="str">
        <f>IFERROR((#REF!/D61),"")</f>
        <v/>
      </c>
      <c r="H61" s="16" t="str">
        <f>IFERROR(((#REF!*A61)*0.02),"")</f>
        <v/>
      </c>
      <c r="I61" s="50"/>
      <c r="M61" s="45" t="str">
        <f>IFERROR(((#REF!*D61)-#REF!),"")</f>
        <v/>
      </c>
      <c r="N61" s="43"/>
      <c r="O61" s="16"/>
    </row>
    <row r="62" spans="6:15">
      <c r="F62" s="44" t="str">
        <f>IFERROR((#REF!/D62),"")</f>
        <v/>
      </c>
      <c r="H62" s="16" t="str">
        <f>IFERROR(((#REF!*A62)*0.02),"")</f>
        <v/>
      </c>
      <c r="I62" s="50"/>
      <c r="M62" s="45" t="str">
        <f>IFERROR(((#REF!*D62)-#REF!),"")</f>
        <v/>
      </c>
      <c r="N62" s="43"/>
      <c r="O62" s="16"/>
    </row>
    <row r="63" spans="6:15">
      <c r="F63" s="44" t="str">
        <f>IFERROR((#REF!/D63),"")</f>
        <v/>
      </c>
      <c r="H63" s="16" t="str">
        <f>IFERROR(((#REF!*A63)*0.02),"")</f>
        <v/>
      </c>
      <c r="I63" s="50"/>
      <c r="M63" s="45" t="str">
        <f>IFERROR(((#REF!*D63)-#REF!),"")</f>
        <v/>
      </c>
      <c r="N63" s="43"/>
      <c r="O63" s="16"/>
    </row>
    <row r="64" spans="6:15">
      <c r="F64" s="44" t="str">
        <f>IFERROR((#REF!/D64),"")</f>
        <v/>
      </c>
      <c r="H64" s="16" t="str">
        <f>IFERROR(((#REF!*A64)*0.02),"")</f>
        <v/>
      </c>
      <c r="I64" s="50"/>
      <c r="M64" s="45" t="str">
        <f>IFERROR(((#REF!*D64)-#REF!),"")</f>
        <v/>
      </c>
      <c r="N64" s="43"/>
      <c r="O64" s="16"/>
    </row>
    <row r="65" spans="6:15">
      <c r="F65" s="44" t="str">
        <f>IFERROR((#REF!/D65),"")</f>
        <v/>
      </c>
      <c r="H65" s="16" t="str">
        <f>IFERROR(((#REF!*A65)*0.02),"")</f>
        <v/>
      </c>
      <c r="I65" s="50"/>
      <c r="M65" s="45" t="str">
        <f>IFERROR(((#REF!*D65)-#REF!),"")</f>
        <v/>
      </c>
      <c r="N65" s="43"/>
      <c r="O65" s="16"/>
    </row>
    <row r="66" spans="6:15">
      <c r="F66" s="44" t="str">
        <f>IFERROR((#REF!/D66),"")</f>
        <v/>
      </c>
      <c r="H66" s="16" t="str">
        <f>IFERROR(((#REF!*A66)*0.02),"")</f>
        <v/>
      </c>
      <c r="I66" s="50"/>
      <c r="M66" s="45" t="str">
        <f>IFERROR(((#REF!*D66)-#REF!),"")</f>
        <v/>
      </c>
      <c r="N66" s="43"/>
      <c r="O66" s="16"/>
    </row>
    <row r="67" spans="6:15">
      <c r="F67" s="44" t="str">
        <f>IFERROR((#REF!/D67),"")</f>
        <v/>
      </c>
      <c r="H67" s="16" t="str">
        <f>IFERROR(((#REF!*A67)*0.02),"")</f>
        <v/>
      </c>
      <c r="I67" s="50"/>
      <c r="M67" s="45" t="str">
        <f>IFERROR(((#REF!*D67)-#REF!),"")</f>
        <v/>
      </c>
      <c r="N67" s="43"/>
      <c r="O67" s="16"/>
    </row>
    <row r="68" spans="6:15">
      <c r="F68" s="44" t="str">
        <f>IFERROR((#REF!/D68),"")</f>
        <v/>
      </c>
      <c r="H68" s="16" t="str">
        <f>IFERROR(((#REF!*A68)*0.02),"")</f>
        <v/>
      </c>
      <c r="I68" s="50"/>
      <c r="M68" s="45" t="str">
        <f>IFERROR(((#REF!*D68)-#REF!),"")</f>
        <v/>
      </c>
      <c r="N68" s="43"/>
      <c r="O68" s="16"/>
    </row>
    <row r="69" spans="6:15">
      <c r="F69" s="44" t="str">
        <f>IFERROR((#REF!/D69),"")</f>
        <v/>
      </c>
      <c r="H69" s="16" t="str">
        <f>IFERROR(((#REF!*A69)*0.02),"")</f>
        <v/>
      </c>
      <c r="I69" s="50"/>
      <c r="M69" s="45" t="str">
        <f>IFERROR(((#REF!*D69)-#REF!),"")</f>
        <v/>
      </c>
      <c r="N69" s="43"/>
      <c r="O69" s="16"/>
    </row>
    <row r="70" spans="6:15">
      <c r="F70" s="44" t="str">
        <f>IFERROR((#REF!/D70),"")</f>
        <v/>
      </c>
      <c r="H70" s="16" t="str">
        <f>IFERROR(((#REF!*A70)*0.02),"")</f>
        <v/>
      </c>
      <c r="I70" s="50"/>
      <c r="M70" s="45" t="str">
        <f>IFERROR(((#REF!*D70)-#REF!),"")</f>
        <v/>
      </c>
      <c r="N70" s="43"/>
      <c r="O70" s="16"/>
    </row>
    <row r="71" spans="6:15">
      <c r="F71" s="44" t="str">
        <f>IFERROR((#REF!/D71),"")</f>
        <v/>
      </c>
      <c r="H71" s="16" t="str">
        <f>IFERROR(((#REF!*A71)*0.02),"")</f>
        <v/>
      </c>
      <c r="I71" s="50"/>
      <c r="M71" s="45" t="str">
        <f>IFERROR(((#REF!*D71)-#REF!),"")</f>
        <v/>
      </c>
      <c r="N71" s="43"/>
      <c r="O71" s="16"/>
    </row>
    <row r="72" spans="6:15">
      <c r="F72" s="44" t="str">
        <f>IFERROR((#REF!/D72),"")</f>
        <v/>
      </c>
      <c r="H72" s="16" t="str">
        <f>IFERROR(((#REF!*A72)*0.02),"")</f>
        <v/>
      </c>
      <c r="I72" s="50"/>
      <c r="M72" s="45" t="str">
        <f>IFERROR(((#REF!*D72)-#REF!),"")</f>
        <v/>
      </c>
      <c r="N72" s="43"/>
      <c r="O72" s="16"/>
    </row>
    <row r="73" spans="6:15">
      <c r="F73" s="44" t="str">
        <f>IFERROR((#REF!/D73),"")</f>
        <v/>
      </c>
      <c r="H73" s="16" t="str">
        <f>IFERROR(((#REF!*A73)*0.02),"")</f>
        <v/>
      </c>
      <c r="I73" s="50"/>
      <c r="M73" s="45" t="str">
        <f>IFERROR(((#REF!*D73)-#REF!),"")</f>
        <v/>
      </c>
      <c r="N73" s="43"/>
      <c r="O73" s="16"/>
    </row>
    <row r="74" spans="6:15">
      <c r="F74" s="44" t="str">
        <f>IFERROR((#REF!/D74),"")</f>
        <v/>
      </c>
      <c r="H74" s="16" t="str">
        <f>IFERROR(((#REF!*A74)*0.02),"")</f>
        <v/>
      </c>
      <c r="I74" s="50"/>
      <c r="M74" s="45" t="str">
        <f>IFERROR(((#REF!*D74)-#REF!),"")</f>
        <v/>
      </c>
      <c r="N74" s="43"/>
      <c r="O74" s="16"/>
    </row>
    <row r="75" spans="6:15">
      <c r="F75" s="44" t="str">
        <f>IFERROR((#REF!/D75),"")</f>
        <v/>
      </c>
      <c r="H75" s="16" t="str">
        <f>IFERROR(((#REF!*A75)*0.02),"")</f>
        <v/>
      </c>
      <c r="I75" s="50"/>
      <c r="M75" s="45" t="str">
        <f>IFERROR(((#REF!*D75)-#REF!),"")</f>
        <v/>
      </c>
      <c r="N75" s="43"/>
      <c r="O75" s="16"/>
    </row>
    <row r="76" spans="6:15">
      <c r="F76" s="44" t="str">
        <f>IFERROR((#REF!/D76),"")</f>
        <v/>
      </c>
      <c r="H76" s="16" t="str">
        <f>IFERROR(((#REF!*A76)*0.02),"")</f>
        <v/>
      </c>
      <c r="I76" s="50"/>
      <c r="M76" s="45" t="str">
        <f>IFERROR(((#REF!*D76)-#REF!),"")</f>
        <v/>
      </c>
      <c r="N76" s="43"/>
      <c r="O76" s="16"/>
    </row>
    <row r="77" spans="6:15">
      <c r="F77" s="44" t="str">
        <f>IFERROR((#REF!/D77),"")</f>
        <v/>
      </c>
      <c r="H77" s="16" t="str">
        <f>IFERROR(((#REF!*A77)*0.02),"")</f>
        <v/>
      </c>
      <c r="I77" s="50"/>
      <c r="M77" s="45" t="str">
        <f>IFERROR(((#REF!*D77)-#REF!),"")</f>
        <v/>
      </c>
      <c r="N77" s="43"/>
      <c r="O77" s="16"/>
    </row>
    <row r="78" spans="6:15">
      <c r="F78" s="44" t="str">
        <f>IFERROR((#REF!/D78),"")</f>
        <v/>
      </c>
      <c r="H78" s="16" t="str">
        <f>IFERROR(((#REF!*A78)*0.02),"")</f>
        <v/>
      </c>
      <c r="I78" s="50"/>
      <c r="M78" s="45" t="str">
        <f>IFERROR(((#REF!*D78)-#REF!),"")</f>
        <v/>
      </c>
      <c r="N78" s="43"/>
      <c r="O78" s="16"/>
    </row>
    <row r="79" spans="6:15">
      <c r="F79" s="44" t="str">
        <f>IFERROR((#REF!/D79),"")</f>
        <v/>
      </c>
      <c r="H79" s="16" t="str">
        <f>IFERROR(((#REF!*A79)*0.02),"")</f>
        <v/>
      </c>
      <c r="I79" s="50"/>
      <c r="M79" s="45" t="str">
        <f>IFERROR(((#REF!*D79)-#REF!),"")</f>
        <v/>
      </c>
      <c r="N79" s="43"/>
      <c r="O79" s="16"/>
    </row>
    <row r="80" spans="6:15">
      <c r="F80" s="44" t="str">
        <f>IFERROR((#REF!/D80),"")</f>
        <v/>
      </c>
      <c r="H80" s="16" t="str">
        <f>IFERROR(((#REF!*A80)*0.02),"")</f>
        <v/>
      </c>
      <c r="I80" s="50"/>
      <c r="M80" s="45" t="str">
        <f>IFERROR(((#REF!*D80)-#REF!),"")</f>
        <v/>
      </c>
      <c r="N80" s="43"/>
      <c r="O80" s="16"/>
    </row>
    <row r="81" spans="6:15">
      <c r="F81" s="44" t="str">
        <f>IFERROR((#REF!/D81),"")</f>
        <v/>
      </c>
      <c r="H81" s="16" t="str">
        <f>IFERROR(((#REF!*A81)*0.02),"")</f>
        <v/>
      </c>
      <c r="I81" s="50"/>
      <c r="M81" s="45" t="str">
        <f>IFERROR(((#REF!*D81)-#REF!),"")</f>
        <v/>
      </c>
      <c r="N81" s="43"/>
      <c r="O81" s="16"/>
    </row>
    <row r="82" spans="6:15">
      <c r="F82" s="44" t="str">
        <f>IFERROR((#REF!/D82),"")</f>
        <v/>
      </c>
      <c r="H82" s="16" t="str">
        <f>IFERROR(((#REF!*A82)*0.02),"")</f>
        <v/>
      </c>
      <c r="I82" s="50"/>
      <c r="M82" s="45" t="str">
        <f>IFERROR(((#REF!*D82)-#REF!),"")</f>
        <v/>
      </c>
      <c r="N82" s="43"/>
      <c r="O82" s="16"/>
    </row>
    <row r="83" spans="6:15">
      <c r="F83" s="44" t="str">
        <f>IFERROR((#REF!/D83),"")</f>
        <v/>
      </c>
      <c r="H83" s="16" t="str">
        <f>IFERROR(((#REF!*A83)*0.02),"")</f>
        <v/>
      </c>
      <c r="I83" s="50"/>
      <c r="M83" s="45" t="str">
        <f>IFERROR(((#REF!*D83)-#REF!),"")</f>
        <v/>
      </c>
      <c r="N83" s="43"/>
      <c r="O83" s="16"/>
    </row>
    <row r="84" spans="6:15">
      <c r="F84" s="44" t="str">
        <f>IFERROR((#REF!/D84),"")</f>
        <v/>
      </c>
      <c r="H84" s="16" t="str">
        <f>IFERROR(((#REF!*A84)*0.02),"")</f>
        <v/>
      </c>
      <c r="I84" s="50"/>
      <c r="M84" s="45" t="str">
        <f>IFERROR(((#REF!*D84)-#REF!),"")</f>
        <v/>
      </c>
      <c r="N84" s="43"/>
      <c r="O84" s="16"/>
    </row>
    <row r="85" spans="6:15">
      <c r="F85" s="44" t="str">
        <f>IFERROR((#REF!/D85),"")</f>
        <v/>
      </c>
      <c r="H85" s="16" t="str">
        <f>IFERROR(((#REF!*A85)*0.02),"")</f>
        <v/>
      </c>
      <c r="I85" s="50"/>
      <c r="M85" s="45" t="str">
        <f>IFERROR(((#REF!*D85)-#REF!),"")</f>
        <v/>
      </c>
      <c r="N85" s="43"/>
      <c r="O85" s="16"/>
    </row>
    <row r="86" spans="6:15">
      <c r="F86" s="44" t="str">
        <f>IFERROR((#REF!/D86),"")</f>
        <v/>
      </c>
      <c r="H86" s="16" t="str">
        <f>IFERROR(((#REF!*A86)*0.02),"")</f>
        <v/>
      </c>
      <c r="I86" s="50"/>
      <c r="M86" s="45" t="str">
        <f>IFERROR(((#REF!*D86)-#REF!),"")</f>
        <v/>
      </c>
      <c r="N86" s="43"/>
      <c r="O86" s="16"/>
    </row>
    <row r="87" spans="6:15">
      <c r="F87" s="44" t="str">
        <f>IFERROR((#REF!/D87),"")</f>
        <v/>
      </c>
      <c r="H87" s="16" t="str">
        <f>IFERROR(((#REF!*A87)*0.02),"")</f>
        <v/>
      </c>
      <c r="I87" s="50"/>
      <c r="M87" s="45" t="str">
        <f>IFERROR(((#REF!*D87)-#REF!),"")</f>
        <v/>
      </c>
      <c r="N87" s="43"/>
      <c r="O87" s="16"/>
    </row>
    <row r="88" spans="6:15">
      <c r="F88" s="44" t="str">
        <f>IFERROR((#REF!/D88),"")</f>
        <v/>
      </c>
      <c r="H88" s="16" t="str">
        <f>IFERROR(((#REF!*A88)*0.02),"")</f>
        <v/>
      </c>
      <c r="I88" s="50"/>
      <c r="M88" s="45" t="str">
        <f>IFERROR(((#REF!*D88)-#REF!),"")</f>
        <v/>
      </c>
      <c r="N88" s="43"/>
      <c r="O88" s="16"/>
    </row>
    <row r="89" spans="6:15">
      <c r="F89" s="44" t="str">
        <f>IFERROR((#REF!/D89),"")</f>
        <v/>
      </c>
      <c r="H89" s="16" t="str">
        <f>IFERROR(((#REF!*A89)*0.02),"")</f>
        <v/>
      </c>
      <c r="I89" s="50"/>
      <c r="M89" s="45" t="str">
        <f>IFERROR(((#REF!*D89)-#REF!),"")</f>
        <v/>
      </c>
      <c r="N89" s="43"/>
      <c r="O89" s="16"/>
    </row>
    <row r="90" spans="6:15">
      <c r="F90" s="44" t="str">
        <f>IFERROR((#REF!/D90),"")</f>
        <v/>
      </c>
      <c r="H90" s="16" t="str">
        <f>IFERROR(((#REF!*A90)*0.02),"")</f>
        <v/>
      </c>
      <c r="I90" s="50"/>
      <c r="M90" s="45" t="str">
        <f>IFERROR(((#REF!*D90)-#REF!),"")</f>
        <v/>
      </c>
      <c r="N90" s="43"/>
      <c r="O90" s="16"/>
    </row>
    <row r="91" spans="6:15">
      <c r="F91" s="44" t="str">
        <f>IFERROR((#REF!/D91),"")</f>
        <v/>
      </c>
      <c r="H91" s="16" t="str">
        <f>IFERROR(((#REF!*A91)*0.02),"")</f>
        <v/>
      </c>
      <c r="I91" s="50"/>
      <c r="M91" s="45" t="str">
        <f>IFERROR(((#REF!*D91)-#REF!),"")</f>
        <v/>
      </c>
      <c r="N91" s="43"/>
      <c r="O91" s="16"/>
    </row>
    <row r="92" spans="6:15">
      <c r="F92" s="44" t="str">
        <f>IFERROR((#REF!/D92),"")</f>
        <v/>
      </c>
      <c r="H92" s="16" t="str">
        <f>IFERROR(((#REF!*A92)*0.02),"")</f>
        <v/>
      </c>
      <c r="I92" s="50"/>
      <c r="M92" s="45" t="str">
        <f>IFERROR(((#REF!*D92)-#REF!),"")</f>
        <v/>
      </c>
      <c r="N92" s="43"/>
      <c r="O92" s="16"/>
    </row>
    <row r="93" spans="6:15">
      <c r="F93" s="44" t="str">
        <f>IFERROR((#REF!/D93),"")</f>
        <v/>
      </c>
      <c r="H93" s="16" t="str">
        <f>IFERROR(((#REF!*A93)*0.02),"")</f>
        <v/>
      </c>
      <c r="I93" s="50"/>
      <c r="M93" s="45" t="str">
        <f>IFERROR(((#REF!*D93)-#REF!),"")</f>
        <v/>
      </c>
      <c r="N93" s="43"/>
      <c r="O93" s="16"/>
    </row>
    <row r="94" spans="6:15">
      <c r="F94" s="44" t="str">
        <f>IFERROR((#REF!/D94),"")</f>
        <v/>
      </c>
      <c r="H94" s="16" t="str">
        <f>IFERROR(((#REF!*A94)*0.02),"")</f>
        <v/>
      </c>
      <c r="I94" s="50"/>
      <c r="M94" s="45" t="str">
        <f>IFERROR(((#REF!*D94)-#REF!),"")</f>
        <v/>
      </c>
      <c r="N94" s="43"/>
      <c r="O94" s="16"/>
    </row>
    <row r="95" spans="6:15">
      <c r="F95" s="44" t="str">
        <f>IFERROR((#REF!/D95),"")</f>
        <v/>
      </c>
      <c r="H95" s="16" t="str">
        <f>IFERROR(((#REF!*A95)*0.02),"")</f>
        <v/>
      </c>
      <c r="I95" s="50"/>
      <c r="M95" s="45" t="str">
        <f>IFERROR(((#REF!*D95)-#REF!),"")</f>
        <v/>
      </c>
      <c r="N95" s="43"/>
      <c r="O95" s="16"/>
    </row>
    <row r="96" spans="6:15">
      <c r="F96" s="44" t="str">
        <f>IFERROR((#REF!/D96),"")</f>
        <v/>
      </c>
      <c r="H96" s="16" t="str">
        <f>IFERROR(((#REF!*A96)*0.02),"")</f>
        <v/>
      </c>
      <c r="I96" s="50"/>
      <c r="M96" s="45" t="str">
        <f>IFERROR(((#REF!*D96)-#REF!),"")</f>
        <v/>
      </c>
      <c r="N96" s="43"/>
      <c r="O96" s="16"/>
    </row>
    <row r="97" spans="6:15">
      <c r="F97" s="44" t="str">
        <f>IFERROR((#REF!/D97),"")</f>
        <v/>
      </c>
      <c r="H97" s="16" t="str">
        <f>IFERROR(((#REF!*A97)*0.02),"")</f>
        <v/>
      </c>
      <c r="I97" s="50"/>
      <c r="M97" s="45" t="str">
        <f>IFERROR(((#REF!*D97)-#REF!),"")</f>
        <v/>
      </c>
      <c r="N97" s="43"/>
      <c r="O97" s="16"/>
    </row>
    <row r="98" spans="6:15">
      <c r="F98" s="44" t="str">
        <f>IFERROR((#REF!/D98),"")</f>
        <v/>
      </c>
      <c r="H98" s="16" t="str">
        <f>IFERROR(((#REF!*A98)*0.02),"")</f>
        <v/>
      </c>
      <c r="I98" s="50"/>
      <c r="M98" s="45" t="str">
        <f>IFERROR(((#REF!*D98)-#REF!),"")</f>
        <v/>
      </c>
      <c r="N98" s="43"/>
      <c r="O98" s="16"/>
    </row>
    <row r="99" spans="6:15">
      <c r="F99" s="44" t="str">
        <f>IFERROR((#REF!/D99),"")</f>
        <v/>
      </c>
      <c r="H99" s="16" t="str">
        <f>IFERROR(((#REF!*A99)*0.02),"")</f>
        <v/>
      </c>
      <c r="I99" s="50"/>
      <c r="M99" s="45" t="str">
        <f>IFERROR(((#REF!*D99)-#REF!),"")</f>
        <v/>
      </c>
      <c r="N99" s="43"/>
      <c r="O99" s="16"/>
    </row>
    <row r="100" spans="6:15">
      <c r="F100" s="44" t="str">
        <f>IFERROR((#REF!/D100),"")</f>
        <v/>
      </c>
      <c r="H100" s="16" t="str">
        <f>IFERROR(((#REF!*A100)*0.02),"")</f>
        <v/>
      </c>
      <c r="I100" s="50"/>
      <c r="M100" s="45" t="str">
        <f>IFERROR(((#REF!*D100)-#REF!),"")</f>
        <v/>
      </c>
      <c r="N100" s="43"/>
      <c r="O100" s="16"/>
    </row>
    <row r="101" spans="6:15">
      <c r="F101" s="44" t="str">
        <f>IFERROR((#REF!/D101),"")</f>
        <v/>
      </c>
      <c r="H101" s="16" t="str">
        <f>IFERROR(((#REF!*A101)*0.02),"")</f>
        <v/>
      </c>
      <c r="I101" s="50"/>
      <c r="M101" s="45" t="str">
        <f>IFERROR(((#REF!*D101)-#REF!),"")</f>
        <v/>
      </c>
      <c r="N101" s="43"/>
      <c r="O101" s="16"/>
    </row>
    <row r="102" spans="6:15">
      <c r="F102" s="44" t="str">
        <f>IFERROR((#REF!/D102),"")</f>
        <v/>
      </c>
      <c r="H102" s="16" t="str">
        <f>IFERROR(((#REF!*A102)*0.02),"")</f>
        <v/>
      </c>
      <c r="I102" s="50"/>
      <c r="M102" s="45" t="str">
        <f>IFERROR(((#REF!*D102)-#REF!),"")</f>
        <v/>
      </c>
      <c r="N102" s="43"/>
      <c r="O102" s="16"/>
    </row>
    <row r="103" spans="6:15">
      <c r="F103" s="44" t="str">
        <f>IFERROR((#REF!/D103),"")</f>
        <v/>
      </c>
      <c r="H103" s="16" t="str">
        <f>IFERROR(((#REF!*A103)*0.02),"")</f>
        <v/>
      </c>
      <c r="I103" s="50"/>
      <c r="M103" s="45" t="str">
        <f>IFERROR(((#REF!*D103)-#REF!),"")</f>
        <v/>
      </c>
      <c r="N103" s="43"/>
      <c r="O103" s="16"/>
    </row>
    <row r="104" spans="6:15">
      <c r="F104" s="44" t="str">
        <f>IFERROR((#REF!/D104),"")</f>
        <v/>
      </c>
      <c r="H104" s="16" t="str">
        <f>IFERROR(((#REF!*A104)*0.02),"")</f>
        <v/>
      </c>
      <c r="I104" s="50"/>
      <c r="M104" s="45" t="str">
        <f>IFERROR(((#REF!*D104)-#REF!),"")</f>
        <v/>
      </c>
      <c r="O104" s="16"/>
    </row>
    <row r="105" spans="6:15">
      <c r="F105" s="44" t="str">
        <f>IFERROR((#REF!/D105),"")</f>
        <v/>
      </c>
      <c r="H105" s="16" t="str">
        <f>IFERROR(((#REF!*A105)*0.02),"")</f>
        <v/>
      </c>
      <c r="I105" s="50"/>
      <c r="M105" s="45" t="str">
        <f>IFERROR(((#REF!*D105)-#REF!),"")</f>
        <v/>
      </c>
      <c r="O105" s="16"/>
    </row>
    <row r="106" spans="6:15">
      <c r="F106" s="44" t="str">
        <f>IFERROR((#REF!/D106),"")</f>
        <v/>
      </c>
      <c r="H106" s="16" t="str">
        <f>IFERROR(((#REF!*A106)*0.02),"")</f>
        <v/>
      </c>
      <c r="I106" s="50"/>
      <c r="M106" s="45" t="str">
        <f>IFERROR(((#REF!*D106)-#REF!),"")</f>
        <v/>
      </c>
      <c r="O106" s="16"/>
    </row>
    <row r="107" spans="6:15">
      <c r="F107" s="44" t="str">
        <f>IFERROR((#REF!/D107),"")</f>
        <v/>
      </c>
      <c r="H107" s="16" t="str">
        <f>IFERROR(((#REF!*A107)*0.02),"")</f>
        <v/>
      </c>
      <c r="I107" s="50"/>
      <c r="M107" s="45" t="str">
        <f>IFERROR(((#REF!*D107)-#REF!),"")</f>
        <v/>
      </c>
      <c r="O107" s="16"/>
    </row>
    <row r="108" spans="6:15">
      <c r="F108" s="44" t="str">
        <f>IFERROR((#REF!/D108),"")</f>
        <v/>
      </c>
      <c r="H108" s="16" t="str">
        <f>IFERROR(((#REF!*A108)*0.02),"")</f>
        <v/>
      </c>
      <c r="I108" s="50"/>
      <c r="M108" s="45" t="str">
        <f>IFERROR(((#REF!*D108)-#REF!),"")</f>
        <v/>
      </c>
      <c r="O108" s="16"/>
    </row>
    <row r="109" spans="6:15">
      <c r="F109" s="44" t="str">
        <f>IFERROR((#REF!/D109),"")</f>
        <v/>
      </c>
      <c r="H109" s="16" t="str">
        <f>IFERROR(((#REF!*A109)*0.02),"")</f>
        <v/>
      </c>
      <c r="I109" s="50"/>
      <c r="M109" s="45" t="str">
        <f>IFERROR(((#REF!*D109)-#REF!),"")</f>
        <v/>
      </c>
      <c r="O109" s="16"/>
    </row>
    <row r="110" spans="6:15">
      <c r="F110" s="44" t="str">
        <f>IFERROR((#REF!/D110),"")</f>
        <v/>
      </c>
      <c r="H110" s="16" t="str">
        <f>IFERROR(((#REF!*A110)*0.02),"")</f>
        <v/>
      </c>
      <c r="I110" s="50"/>
      <c r="M110" s="45" t="str">
        <f>IFERROR(((#REF!*D110)-#REF!),"")</f>
        <v/>
      </c>
      <c r="O110" s="16"/>
    </row>
    <row r="111" spans="6:15">
      <c r="F111" s="44" t="str">
        <f>IFERROR((#REF!/D111),"")</f>
        <v/>
      </c>
      <c r="H111" s="16" t="str">
        <f>IFERROR(((#REF!*A111)*0.02),"")</f>
        <v/>
      </c>
      <c r="I111" s="50"/>
      <c r="M111" s="45" t="str">
        <f>IFERROR(((#REF!*D111)-#REF!),"")</f>
        <v/>
      </c>
      <c r="O111" s="16"/>
    </row>
    <row r="112" spans="6:15">
      <c r="F112" s="44" t="str">
        <f>IFERROR((#REF!/D112),"")</f>
        <v/>
      </c>
      <c r="H112" s="16" t="str">
        <f>IFERROR(((#REF!*A112)*0.02),"")</f>
        <v/>
      </c>
      <c r="I112" s="50"/>
      <c r="M112" s="45" t="str">
        <f>IFERROR(((#REF!*D112)-#REF!),"")</f>
        <v/>
      </c>
      <c r="O112" s="16"/>
    </row>
    <row r="113" spans="6:15">
      <c r="F113" s="44" t="str">
        <f>IFERROR((#REF!/D113),"")</f>
        <v/>
      </c>
      <c r="H113" s="16" t="str">
        <f>IFERROR(((#REF!*A113)*0.02),"")</f>
        <v/>
      </c>
      <c r="I113" s="50"/>
      <c r="M113" s="45" t="str">
        <f>IFERROR(((#REF!*D113)-#REF!),"")</f>
        <v/>
      </c>
      <c r="O113" s="16"/>
    </row>
    <row r="114" spans="6:15">
      <c r="F114" s="44" t="str">
        <f>IFERROR((#REF!/D114),"")</f>
        <v/>
      </c>
      <c r="H114" s="16" t="str">
        <f>IFERROR(((#REF!*A114)*0.02),"")</f>
        <v/>
      </c>
      <c r="I114" s="50"/>
      <c r="M114" s="45" t="str">
        <f>IFERROR(((#REF!*D114)-#REF!),"")</f>
        <v/>
      </c>
      <c r="O114" s="16"/>
    </row>
    <row r="115" spans="6:15">
      <c r="F115" s="44" t="str">
        <f>IFERROR((#REF!/D115),"")</f>
        <v/>
      </c>
      <c r="H115" s="16" t="str">
        <f>IFERROR(((#REF!*A115)*0.02),"")</f>
        <v/>
      </c>
      <c r="I115" s="50"/>
      <c r="M115" s="45" t="str">
        <f>IFERROR(((#REF!*D115)-#REF!),"")</f>
        <v/>
      </c>
      <c r="O115" s="16"/>
    </row>
    <row r="116" spans="6:15">
      <c r="F116" s="44" t="str">
        <f>IFERROR((#REF!/D116),"")</f>
        <v/>
      </c>
      <c r="H116" s="16" t="str">
        <f>IFERROR(((#REF!*A116)*0.02),"")</f>
        <v/>
      </c>
      <c r="I116" s="50"/>
      <c r="M116" s="45" t="str">
        <f>IFERROR(((#REF!*D116)-#REF!),"")</f>
        <v/>
      </c>
      <c r="O116" s="16"/>
    </row>
    <row r="117" spans="6:15">
      <c r="F117" s="44" t="str">
        <f>IFERROR((#REF!/D117),"")</f>
        <v/>
      </c>
      <c r="H117" s="16" t="str">
        <f>IFERROR(((#REF!*A117)*0.02),"")</f>
        <v/>
      </c>
      <c r="I117" s="50"/>
      <c r="M117" s="45" t="str">
        <f>IFERROR(((#REF!*D117)-#REF!),"")</f>
        <v/>
      </c>
      <c r="O117" s="16"/>
    </row>
    <row r="118" spans="6:15">
      <c r="F118" s="44" t="str">
        <f>IFERROR((#REF!/D118),"")</f>
        <v/>
      </c>
      <c r="H118" s="16" t="str">
        <f>IFERROR(((#REF!*A118)*0.02),"")</f>
        <v/>
      </c>
      <c r="I118" s="50"/>
      <c r="M118" s="45" t="str">
        <f>IFERROR(((#REF!*D118)-#REF!),"")</f>
        <v/>
      </c>
      <c r="O118" s="16"/>
    </row>
    <row r="119" spans="6:15">
      <c r="F119" s="44" t="str">
        <f>IFERROR((#REF!/D119),"")</f>
        <v/>
      </c>
      <c r="H119" s="16" t="str">
        <f>IFERROR(((#REF!*A119)*0.02),"")</f>
        <v/>
      </c>
      <c r="I119" s="50"/>
      <c r="M119" s="45" t="str">
        <f>IFERROR(((#REF!*D119)-#REF!),"")</f>
        <v/>
      </c>
      <c r="O119" s="16"/>
    </row>
    <row r="120" spans="6:15">
      <c r="F120" s="44" t="str">
        <f>IFERROR((#REF!/D120),"")</f>
        <v/>
      </c>
      <c r="H120" s="16" t="str">
        <f>IFERROR(((#REF!*A120)*0.02),"")</f>
        <v/>
      </c>
      <c r="I120" s="50"/>
      <c r="M120" s="45" t="str">
        <f>IFERROR(((#REF!*D120)-#REF!),"")</f>
        <v/>
      </c>
      <c r="O120" s="16"/>
    </row>
    <row r="121" spans="6:15">
      <c r="F121" s="44" t="str">
        <f>IFERROR((#REF!/D121),"")</f>
        <v/>
      </c>
      <c r="H121" s="16" t="str">
        <f>IFERROR(((#REF!*A121)*0.02),"")</f>
        <v/>
      </c>
      <c r="I121" s="50"/>
      <c r="M121" s="45" t="str">
        <f>IFERROR(((#REF!*D121)-#REF!),"")</f>
        <v/>
      </c>
      <c r="O121" s="16"/>
    </row>
    <row r="122" spans="6:15">
      <c r="F122" s="44" t="str">
        <f>IFERROR((#REF!/D122),"")</f>
        <v/>
      </c>
      <c r="H122" s="16" t="str">
        <f>IFERROR(((#REF!*A122)*0.02),"")</f>
        <v/>
      </c>
      <c r="I122" s="50"/>
      <c r="M122" s="45" t="str">
        <f>IFERROR(((#REF!*D122)-#REF!),"")</f>
        <v/>
      </c>
      <c r="O122" s="16"/>
    </row>
    <row r="123" spans="6:15">
      <c r="F123" s="44" t="str">
        <f>IFERROR((#REF!/D123),"")</f>
        <v/>
      </c>
      <c r="H123" s="16" t="str">
        <f>IFERROR(((#REF!*A123)*0.02),"")</f>
        <v/>
      </c>
      <c r="I123" s="50"/>
      <c r="M123" s="45" t="str">
        <f>IFERROR(((#REF!*D123)-#REF!),"")</f>
        <v/>
      </c>
      <c r="O123" s="16"/>
    </row>
    <row r="124" spans="6:15">
      <c r="F124" s="44" t="str">
        <f>IFERROR((#REF!/D124),"")</f>
        <v/>
      </c>
      <c r="H124" s="16" t="str">
        <f>IFERROR(((#REF!*A124)*0.02),"")</f>
        <v/>
      </c>
      <c r="I124" s="50"/>
      <c r="M124" s="45" t="str">
        <f>IFERROR(((#REF!*D124)-#REF!),"")</f>
        <v/>
      </c>
      <c r="O124" s="16"/>
    </row>
    <row r="125" spans="6:15">
      <c r="F125" s="44" t="str">
        <f>IFERROR((#REF!/D125),"")</f>
        <v/>
      </c>
      <c r="H125" s="16" t="str">
        <f>IFERROR(((#REF!*A125)*0.02),"")</f>
        <v/>
      </c>
      <c r="I125" s="50"/>
      <c r="M125" s="45" t="str">
        <f>IFERROR(((#REF!*D125)-#REF!),"")</f>
        <v/>
      </c>
      <c r="O125" s="16"/>
    </row>
    <row r="126" spans="6:15">
      <c r="F126" s="44" t="str">
        <f>IFERROR((#REF!/D126),"")</f>
        <v/>
      </c>
      <c r="H126" s="16" t="str">
        <f>IFERROR(((#REF!*A126)*0.02),"")</f>
        <v/>
      </c>
      <c r="I126" s="50"/>
      <c r="M126" s="45" t="str">
        <f>IFERROR(((#REF!*D126)-#REF!),"")</f>
        <v/>
      </c>
      <c r="O126" s="16"/>
    </row>
    <row r="127" spans="6:15">
      <c r="F127" s="44" t="str">
        <f>IFERROR((#REF!/D127),"")</f>
        <v/>
      </c>
      <c r="H127" s="16" t="str">
        <f>IFERROR(((#REF!*A127)*0.02),"")</f>
        <v/>
      </c>
      <c r="I127" s="50"/>
      <c r="M127" s="45" t="str">
        <f>IFERROR(((#REF!*D127)-#REF!),"")</f>
        <v/>
      </c>
      <c r="O127" s="16"/>
    </row>
    <row r="128" spans="6:15">
      <c r="F128" s="44" t="str">
        <f>IFERROR((#REF!/D128),"")</f>
        <v/>
      </c>
      <c r="H128" s="16" t="str">
        <f>IFERROR(((#REF!*A128)*0.02),"")</f>
        <v/>
      </c>
      <c r="I128" s="50"/>
      <c r="M128" s="45" t="str">
        <f>IFERROR(((#REF!*D128)-#REF!),"")</f>
        <v/>
      </c>
      <c r="O128" s="16"/>
    </row>
    <row r="129" spans="6:15">
      <c r="F129" s="44" t="str">
        <f>IFERROR((#REF!/D129),"")</f>
        <v/>
      </c>
      <c r="H129" s="16" t="str">
        <f>IFERROR(((#REF!*A129)*0.02),"")</f>
        <v/>
      </c>
      <c r="I129" s="50"/>
      <c r="M129" s="45" t="str">
        <f>IFERROR(((#REF!*D129)-#REF!),"")</f>
        <v/>
      </c>
      <c r="O129" s="16"/>
    </row>
    <row r="130" spans="6:15">
      <c r="F130" s="44" t="str">
        <f>IFERROR((#REF!/D130),"")</f>
        <v/>
      </c>
      <c r="H130" s="16" t="str">
        <f>IFERROR(((#REF!*A130)*0.02),"")</f>
        <v/>
      </c>
      <c r="I130" s="50"/>
      <c r="M130" s="45" t="str">
        <f>IFERROR(((#REF!*D130)-#REF!),"")</f>
        <v/>
      </c>
      <c r="O130" s="16"/>
    </row>
    <row r="131" spans="6:15">
      <c r="F131" s="44" t="str">
        <f>IFERROR((#REF!/D131),"")</f>
        <v/>
      </c>
      <c r="H131" s="16" t="str">
        <f>IFERROR(((#REF!*A131)*0.02),"")</f>
        <v/>
      </c>
      <c r="I131" s="50"/>
      <c r="M131" s="45" t="str">
        <f>IFERROR(((#REF!*D131)-#REF!),"")</f>
        <v/>
      </c>
      <c r="O131" s="16"/>
    </row>
    <row r="132" spans="6:15">
      <c r="F132" s="44" t="str">
        <f>IFERROR((#REF!/D132),"")</f>
        <v/>
      </c>
      <c r="H132" s="16" t="str">
        <f>IFERROR(((#REF!*A132)*0.02),"")</f>
        <v/>
      </c>
      <c r="I132" s="50"/>
      <c r="M132" s="45" t="str">
        <f>IFERROR(((#REF!*D132)-#REF!),"")</f>
        <v/>
      </c>
      <c r="O132" s="16"/>
    </row>
    <row r="133" spans="6:15">
      <c r="F133" s="44" t="str">
        <f>IFERROR((#REF!/D133),"")</f>
        <v/>
      </c>
      <c r="H133" s="16" t="str">
        <f>IFERROR(((#REF!*A133)*0.02),"")</f>
        <v/>
      </c>
      <c r="I133" s="50"/>
      <c r="M133" s="45" t="str">
        <f>IFERROR(((#REF!*D133)-#REF!),"")</f>
        <v/>
      </c>
      <c r="O133" s="16"/>
    </row>
    <row r="134" spans="6:15">
      <c r="F134" s="44" t="str">
        <f>IFERROR((#REF!/D134),"")</f>
        <v/>
      </c>
      <c r="H134" s="16" t="str">
        <f>IFERROR(((#REF!*A134)*0.02),"")</f>
        <v/>
      </c>
      <c r="I134" s="50"/>
      <c r="M134" s="45" t="str">
        <f>IFERROR(((#REF!*D134)-#REF!),"")</f>
        <v/>
      </c>
      <c r="O134" s="16"/>
    </row>
    <row r="135" spans="6:15">
      <c r="F135" s="44" t="str">
        <f>IFERROR((#REF!/D135),"")</f>
        <v/>
      </c>
      <c r="H135" s="16" t="str">
        <f>IFERROR(((#REF!*A135)*0.02),"")</f>
        <v/>
      </c>
      <c r="I135" s="50"/>
      <c r="M135" s="45" t="str">
        <f>IFERROR(((#REF!*D135)-#REF!),"")</f>
        <v/>
      </c>
      <c r="O135" s="16"/>
    </row>
    <row r="136" spans="6:15">
      <c r="F136" s="44" t="str">
        <f>IFERROR((#REF!/D136),"")</f>
        <v/>
      </c>
      <c r="H136" s="16" t="str">
        <f>IFERROR(((#REF!*A136)*0.02),"")</f>
        <v/>
      </c>
      <c r="I136" s="50"/>
      <c r="M136" s="45" t="str">
        <f>IFERROR(((#REF!*D136)-#REF!),"")</f>
        <v/>
      </c>
      <c r="O136" s="16"/>
    </row>
    <row r="137" spans="6:15">
      <c r="F137" s="44" t="str">
        <f>IFERROR((#REF!/D137),"")</f>
        <v/>
      </c>
      <c r="H137" s="16" t="str">
        <f>IFERROR(((#REF!*A137)*0.02),"")</f>
        <v/>
      </c>
      <c r="I137" s="50"/>
      <c r="M137" s="45" t="str">
        <f>IFERROR(((#REF!*D137)-#REF!),"")</f>
        <v/>
      </c>
      <c r="O137" s="16"/>
    </row>
    <row r="138" spans="6:15">
      <c r="F138" s="44" t="str">
        <f>IFERROR((#REF!/D138),"")</f>
        <v/>
      </c>
      <c r="H138" s="16" t="str">
        <f>IFERROR(((#REF!*A138)*0.02),"")</f>
        <v/>
      </c>
      <c r="I138" s="50"/>
      <c r="M138" s="45" t="str">
        <f>IFERROR(((#REF!*D138)-#REF!),"")</f>
        <v/>
      </c>
      <c r="O138" s="16"/>
    </row>
    <row r="139" spans="6:15">
      <c r="F139" s="44" t="str">
        <f>IFERROR((#REF!/D139),"")</f>
        <v/>
      </c>
      <c r="H139" s="16" t="str">
        <f>IFERROR(((#REF!*A139)*0.02),"")</f>
        <v/>
      </c>
      <c r="I139" s="50"/>
      <c r="M139" s="45" t="str">
        <f>IFERROR(((#REF!*D139)-#REF!),"")</f>
        <v/>
      </c>
      <c r="O139" s="16"/>
    </row>
    <row r="140" spans="6:15">
      <c r="F140" s="44" t="str">
        <f>IFERROR((#REF!/D140),"")</f>
        <v/>
      </c>
      <c r="H140" s="16" t="str">
        <f>IFERROR(((#REF!*A140)*0.02),"")</f>
        <v/>
      </c>
      <c r="I140" s="50"/>
      <c r="M140" s="45" t="str">
        <f>IFERROR(((#REF!*D140)-#REF!),"")</f>
        <v/>
      </c>
      <c r="O140" s="16"/>
    </row>
    <row r="141" spans="6:15">
      <c r="F141" s="44" t="str">
        <f>IFERROR((#REF!/D141),"")</f>
        <v/>
      </c>
      <c r="H141" s="16" t="str">
        <f>IFERROR(((#REF!*A141)*0.02),"")</f>
        <v/>
      </c>
      <c r="I141" s="50"/>
      <c r="M141" s="45" t="str">
        <f>IFERROR(((#REF!*D141)-#REF!),"")</f>
        <v/>
      </c>
      <c r="O141" s="16"/>
    </row>
    <row r="142" spans="6:15">
      <c r="F142" s="44" t="str">
        <f>IFERROR((#REF!/D142),"")</f>
        <v/>
      </c>
      <c r="H142" s="16" t="str">
        <f>IFERROR(((#REF!*A142)*0.02),"")</f>
        <v/>
      </c>
      <c r="I142" s="50"/>
      <c r="M142" s="45" t="str">
        <f>IFERROR(((#REF!*D142)-#REF!),"")</f>
        <v/>
      </c>
      <c r="O142" s="16"/>
    </row>
    <row r="143" spans="6:15">
      <c r="F143" s="44" t="str">
        <f>IFERROR((#REF!/D143),"")</f>
        <v/>
      </c>
      <c r="H143" s="16" t="str">
        <f>IFERROR(((#REF!*A143)*0.02),"")</f>
        <v/>
      </c>
      <c r="I143" s="50"/>
      <c r="M143" s="45" t="str">
        <f>IFERROR(((#REF!*D143)-#REF!),"")</f>
        <v/>
      </c>
      <c r="O143" s="16"/>
    </row>
    <row r="144" spans="6:15">
      <c r="F144" s="44" t="str">
        <f>IFERROR((#REF!/D144),"")</f>
        <v/>
      </c>
      <c r="H144" s="16" t="str">
        <f>IFERROR(((#REF!*A144)*0.02),"")</f>
        <v/>
      </c>
      <c r="I144" s="50"/>
      <c r="M144" s="45" t="str">
        <f>IFERROR(((#REF!*D144)-#REF!),"")</f>
        <v/>
      </c>
    </row>
    <row r="145" spans="6:13">
      <c r="F145" s="44" t="str">
        <f>IFERROR((#REF!/D145),"")</f>
        <v/>
      </c>
      <c r="I145" s="50"/>
      <c r="M145" s="45" t="str">
        <f>IFERROR(((#REF!*D145)-#REF!),"")</f>
        <v/>
      </c>
    </row>
    <row r="146" spans="6:13">
      <c r="F146" s="44" t="str">
        <f>IFERROR((#REF!/D146),"")</f>
        <v/>
      </c>
      <c r="I146" s="50"/>
      <c r="M146" s="45" t="str">
        <f>IFERROR(((#REF!*D146)-#REF!),"")</f>
        <v/>
      </c>
    </row>
    <row r="147" spans="6:13">
      <c r="F147" s="44" t="str">
        <f>IFERROR((#REF!/D147),"")</f>
        <v/>
      </c>
      <c r="I147" s="50"/>
      <c r="M147" s="45" t="str">
        <f>IFERROR(((#REF!*D147)-#REF!),"")</f>
        <v/>
      </c>
    </row>
    <row r="148" spans="6:13">
      <c r="F148" s="44" t="str">
        <f>IFERROR((#REF!/D148),"")</f>
        <v/>
      </c>
      <c r="I148" s="50"/>
      <c r="M148" s="45" t="str">
        <f>IFERROR(((#REF!*D148)-#REF!),"")</f>
        <v/>
      </c>
    </row>
    <row r="149" spans="6:13">
      <c r="F149" s="44" t="str">
        <f>IFERROR((#REF!/D149),"")</f>
        <v/>
      </c>
      <c r="I149" s="50"/>
    </row>
    <row r="150" spans="6:13">
      <c r="F150" s="44" t="str">
        <f>IFERROR((#REF!/D150),"")</f>
        <v/>
      </c>
      <c r="I150" s="50"/>
    </row>
    <row r="151" spans="6:13">
      <c r="F151" s="44" t="str">
        <f>IFERROR((#REF!/D151),"")</f>
        <v/>
      </c>
      <c r="I151" s="50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E7F3-100B-5246-85E4-F3EE1B6F0B85}">
  <dimension ref="A1:F163"/>
  <sheetViews>
    <sheetView workbookViewId="0">
      <selection activeCell="B11" sqref="B11:B12"/>
    </sheetView>
  </sheetViews>
  <sheetFormatPr baseColWidth="10" defaultColWidth="8.83203125" defaultRowHeight="15"/>
  <cols>
    <col min="1" max="1" width="8.83203125" style="3" bestFit="1"/>
    <col min="2" max="2" width="50.1640625" style="1" customWidth="1"/>
    <col min="3" max="3" width="3.6640625" style="1" bestFit="1" customWidth="1"/>
    <col min="4" max="4" width="13.1640625" style="1" bestFit="1" customWidth="1"/>
    <col min="5" max="5" width="12.33203125" style="5" bestFit="1" customWidth="1"/>
    <col min="6" max="6" width="9" style="3" bestFit="1" customWidth="1"/>
    <col min="7" max="16384" width="8.83203125" style="1"/>
  </cols>
  <sheetData>
    <row r="1" spans="1:6" s="2" customFormat="1">
      <c r="A1" s="17" t="s">
        <v>0</v>
      </c>
      <c r="B1" s="18" t="s">
        <v>1</v>
      </c>
      <c r="C1" s="18" t="s">
        <v>4</v>
      </c>
      <c r="D1" s="19" t="s">
        <v>2</v>
      </c>
      <c r="E1" s="19" t="s">
        <v>33</v>
      </c>
      <c r="F1" s="20" t="s">
        <v>6</v>
      </c>
    </row>
    <row r="2" spans="1:6">
      <c r="A2" s="21">
        <v>6</v>
      </c>
      <c r="B2" s="18" t="s">
        <v>9</v>
      </c>
      <c r="C2" s="22">
        <v>1</v>
      </c>
      <c r="D2" s="23">
        <v>948.74999999999989</v>
      </c>
      <c r="E2" s="23">
        <v>5692.4999999999991</v>
      </c>
      <c r="F2" s="20" t="s">
        <v>34</v>
      </c>
    </row>
    <row r="3" spans="1:6">
      <c r="A3" s="20">
        <v>6</v>
      </c>
      <c r="B3" s="18" t="s">
        <v>27</v>
      </c>
      <c r="C3" s="22">
        <v>1</v>
      </c>
      <c r="D3" s="23">
        <v>1063.75</v>
      </c>
      <c r="E3" s="23">
        <v>6382.5</v>
      </c>
      <c r="F3" s="20" t="s">
        <v>34</v>
      </c>
    </row>
    <row r="4" spans="1:6">
      <c r="A4" s="24">
        <v>4</v>
      </c>
      <c r="B4" s="18" t="s">
        <v>10</v>
      </c>
      <c r="C4" s="22">
        <v>1</v>
      </c>
      <c r="D4" s="23">
        <v>1006.2499999999999</v>
      </c>
      <c r="E4" s="23">
        <v>4024.9999999999995</v>
      </c>
      <c r="F4" s="20" t="s">
        <v>34</v>
      </c>
    </row>
    <row r="5" spans="1:6">
      <c r="A5" s="24">
        <v>4</v>
      </c>
      <c r="B5" s="18" t="s">
        <v>11</v>
      </c>
      <c r="C5" s="22">
        <v>1</v>
      </c>
      <c r="D5" s="23">
        <v>184</v>
      </c>
      <c r="E5" s="23">
        <v>736</v>
      </c>
      <c r="F5" s="20" t="s">
        <v>34</v>
      </c>
    </row>
    <row r="6" spans="1:6">
      <c r="A6" s="24">
        <v>4</v>
      </c>
      <c r="B6" s="18" t="s">
        <v>12</v>
      </c>
      <c r="C6" s="22">
        <v>1</v>
      </c>
      <c r="D6" s="23">
        <v>270.25</v>
      </c>
      <c r="E6" s="23">
        <v>1081</v>
      </c>
      <c r="F6" s="20" t="s">
        <v>34</v>
      </c>
    </row>
    <row r="7" spans="1:6">
      <c r="A7" s="24">
        <v>4</v>
      </c>
      <c r="B7" s="18" t="s">
        <v>13</v>
      </c>
      <c r="C7" s="22">
        <v>1</v>
      </c>
      <c r="D7" s="23">
        <v>1322.5</v>
      </c>
      <c r="E7" s="23">
        <v>5290</v>
      </c>
      <c r="F7" s="20" t="s">
        <v>34</v>
      </c>
    </row>
    <row r="8" spans="1:6">
      <c r="A8" s="24">
        <v>1</v>
      </c>
      <c r="B8" s="18" t="s">
        <v>14</v>
      </c>
      <c r="C8" s="22">
        <v>1</v>
      </c>
      <c r="D8" s="23">
        <v>994.74999999999989</v>
      </c>
      <c r="E8" s="23">
        <v>994.74999999999989</v>
      </c>
      <c r="F8" s="20" t="s">
        <v>34</v>
      </c>
    </row>
    <row r="9" spans="1:6">
      <c r="A9" s="24">
        <v>2</v>
      </c>
      <c r="B9" s="18" t="s">
        <v>15</v>
      </c>
      <c r="C9" s="22">
        <v>1</v>
      </c>
      <c r="D9" s="23">
        <v>2869.25</v>
      </c>
      <c r="E9" s="23">
        <v>5738.5</v>
      </c>
      <c r="F9" s="20" t="s">
        <v>34</v>
      </c>
    </row>
    <row r="10" spans="1:6">
      <c r="A10" s="24">
        <v>2</v>
      </c>
      <c r="B10" s="18" t="s">
        <v>16</v>
      </c>
      <c r="C10" s="22">
        <v>1</v>
      </c>
      <c r="D10" s="23">
        <v>5175</v>
      </c>
      <c r="E10" s="23">
        <v>10350</v>
      </c>
      <c r="F10" s="20" t="s">
        <v>34</v>
      </c>
    </row>
    <row r="11" spans="1:6">
      <c r="A11" s="24">
        <v>3</v>
      </c>
      <c r="B11" s="18" t="s">
        <v>38</v>
      </c>
      <c r="C11" s="22">
        <v>1</v>
      </c>
      <c r="D11" s="23">
        <v>431.24999999999994</v>
      </c>
      <c r="E11" s="23">
        <v>1293.7499999999998</v>
      </c>
      <c r="F11" s="20" t="s">
        <v>34</v>
      </c>
    </row>
    <row r="12" spans="1:6">
      <c r="A12" s="24">
        <v>4</v>
      </c>
      <c r="B12" s="18" t="s">
        <v>39</v>
      </c>
      <c r="C12" s="22">
        <v>1</v>
      </c>
      <c r="D12" s="23">
        <v>2754.2499999999995</v>
      </c>
      <c r="E12" s="23">
        <v>11016.999999999998</v>
      </c>
      <c r="F12" s="20" t="s">
        <v>34</v>
      </c>
    </row>
    <row r="13" spans="1:6">
      <c r="A13" s="24">
        <v>1</v>
      </c>
      <c r="B13" s="18" t="s">
        <v>17</v>
      </c>
      <c r="C13" s="22">
        <v>1</v>
      </c>
      <c r="D13" s="23">
        <v>3329.2499999999995</v>
      </c>
      <c r="E13" s="23">
        <v>3329.2499999999995</v>
      </c>
      <c r="F13" s="20" t="s">
        <v>34</v>
      </c>
    </row>
    <row r="14" spans="1:6">
      <c r="A14" s="24">
        <v>2</v>
      </c>
      <c r="B14" s="18" t="s">
        <v>18</v>
      </c>
      <c r="C14" s="22">
        <v>1</v>
      </c>
      <c r="D14" s="23">
        <v>5744.2499999999991</v>
      </c>
      <c r="E14" s="23">
        <v>11488.499999999998</v>
      </c>
      <c r="F14" s="20" t="s">
        <v>34</v>
      </c>
    </row>
    <row r="15" spans="1:6">
      <c r="A15" s="24">
        <v>2</v>
      </c>
      <c r="B15" s="18" t="s">
        <v>19</v>
      </c>
      <c r="C15" s="22">
        <v>1</v>
      </c>
      <c r="D15" s="23">
        <v>2179.2499999999995</v>
      </c>
      <c r="E15" s="23">
        <v>4358.4999999999991</v>
      </c>
      <c r="F15" s="20" t="s">
        <v>34</v>
      </c>
    </row>
    <row r="16" spans="1:6">
      <c r="A16" s="24">
        <v>2</v>
      </c>
      <c r="B16" s="18" t="s">
        <v>20</v>
      </c>
      <c r="C16" s="22">
        <v>1</v>
      </c>
      <c r="D16" s="23">
        <v>977.49999999999989</v>
      </c>
      <c r="E16" s="23">
        <v>1954.9999999999998</v>
      </c>
      <c r="F16" s="20" t="s">
        <v>34</v>
      </c>
    </row>
    <row r="17" spans="1:6">
      <c r="A17" s="24">
        <v>2</v>
      </c>
      <c r="B17" s="18" t="s">
        <v>21</v>
      </c>
      <c r="C17" s="22">
        <v>1</v>
      </c>
      <c r="D17" s="23">
        <v>948.74999999999989</v>
      </c>
      <c r="E17" s="23">
        <v>1897.4999999999998</v>
      </c>
      <c r="F17" s="20" t="s">
        <v>34</v>
      </c>
    </row>
    <row r="18" spans="1:6">
      <c r="A18" s="24">
        <v>1</v>
      </c>
      <c r="B18" s="18" t="s">
        <v>22</v>
      </c>
      <c r="C18" s="22">
        <v>1</v>
      </c>
      <c r="D18" s="23">
        <v>1029.25</v>
      </c>
      <c r="E18" s="23">
        <v>1029.25</v>
      </c>
      <c r="F18" s="20" t="s">
        <v>34</v>
      </c>
    </row>
    <row r="19" spans="1:6">
      <c r="A19" s="24">
        <v>1</v>
      </c>
      <c r="B19" s="18" t="s">
        <v>23</v>
      </c>
      <c r="C19" s="22">
        <v>1</v>
      </c>
      <c r="D19" s="23">
        <v>3622.4999999999995</v>
      </c>
      <c r="E19" s="23">
        <v>3622.4999999999995</v>
      </c>
      <c r="F19" s="20" t="s">
        <v>34</v>
      </c>
    </row>
    <row r="20" spans="1:6">
      <c r="A20" s="24">
        <v>1</v>
      </c>
      <c r="B20" s="18" t="s">
        <v>24</v>
      </c>
      <c r="C20" s="22">
        <v>1</v>
      </c>
      <c r="D20" s="23">
        <v>1092.4999999999998</v>
      </c>
      <c r="E20" s="23">
        <v>1092.4999999999998</v>
      </c>
      <c r="F20" s="20" t="s">
        <v>34</v>
      </c>
    </row>
    <row r="21" spans="1:6">
      <c r="A21" s="24">
        <v>2</v>
      </c>
      <c r="B21" s="18" t="s">
        <v>25</v>
      </c>
      <c r="C21" s="22">
        <v>1</v>
      </c>
      <c r="D21" s="23">
        <v>1719.2499999999998</v>
      </c>
      <c r="E21" s="23">
        <v>3438.4999999999995</v>
      </c>
      <c r="F21" s="20" t="s">
        <v>34</v>
      </c>
    </row>
    <row r="22" spans="1:6">
      <c r="A22" s="24">
        <v>1</v>
      </c>
      <c r="B22" s="18" t="s">
        <v>26</v>
      </c>
      <c r="C22" s="22">
        <v>1</v>
      </c>
      <c r="D22" s="23">
        <v>684.24999999999989</v>
      </c>
      <c r="E22" s="23">
        <v>684.24999999999989</v>
      </c>
      <c r="F22" s="20" t="s">
        <v>34</v>
      </c>
    </row>
    <row r="23" spans="1:6">
      <c r="A23" s="24">
        <v>2</v>
      </c>
      <c r="B23" s="18" t="s">
        <v>28</v>
      </c>
      <c r="C23" s="22">
        <v>1</v>
      </c>
      <c r="D23" s="23">
        <v>632.49999999999989</v>
      </c>
      <c r="E23" s="23">
        <v>1264.9999999999998</v>
      </c>
      <c r="F23" s="20" t="s">
        <v>34</v>
      </c>
    </row>
    <row r="24" spans="1:6">
      <c r="A24" s="24">
        <v>3</v>
      </c>
      <c r="B24" s="18" t="s">
        <v>29</v>
      </c>
      <c r="C24" s="22">
        <v>1</v>
      </c>
      <c r="D24" s="23">
        <v>1293.7499999999998</v>
      </c>
      <c r="E24" s="23">
        <v>3881.2499999999991</v>
      </c>
      <c r="F24" s="20" t="s">
        <v>34</v>
      </c>
    </row>
    <row r="25" spans="1:6">
      <c r="A25" s="24">
        <v>4</v>
      </c>
      <c r="B25" s="18" t="s">
        <v>30</v>
      </c>
      <c r="C25" s="22">
        <v>1</v>
      </c>
      <c r="D25" s="23">
        <v>362.24999999999994</v>
      </c>
      <c r="E25" s="23">
        <v>1448.9999999999998</v>
      </c>
      <c r="F25" s="20" t="s">
        <v>34</v>
      </c>
    </row>
    <row r="26" spans="1:6">
      <c r="A26" s="24">
        <v>2</v>
      </c>
      <c r="B26" s="18" t="s">
        <v>31</v>
      </c>
      <c r="C26" s="22">
        <v>1</v>
      </c>
      <c r="D26" s="23">
        <v>442.74999999999994</v>
      </c>
      <c r="E26" s="23">
        <v>885.49999999999989</v>
      </c>
      <c r="F26" s="20" t="s">
        <v>34</v>
      </c>
    </row>
    <row r="27" spans="1:6" s="11" customFormat="1">
      <c r="A27" s="25">
        <f t="shared" ref="A27" si="0">SUM(A2:A26)</f>
        <v>66</v>
      </c>
      <c r="B27" s="26"/>
      <c r="C27" s="26"/>
      <c r="D27" s="27" t="s">
        <v>37</v>
      </c>
      <c r="E27" s="28">
        <v>92977.5</v>
      </c>
      <c r="F27" s="29"/>
    </row>
    <row r="28" spans="1:6">
      <c r="E28" s="6" t="s">
        <v>37</v>
      </c>
      <c r="F28" s="16" t="str">
        <f>IFERROR(((#REF!*C28)*0.02),"")</f>
        <v/>
      </c>
    </row>
    <row r="29" spans="1:6">
      <c r="E29" s="6" t="s">
        <v>37</v>
      </c>
      <c r="F29" s="16" t="str">
        <f>IFERROR(((#REF!*C29)*0.02),"")</f>
        <v/>
      </c>
    </row>
    <row r="30" spans="1:6">
      <c r="E30" s="6" t="s">
        <v>37</v>
      </c>
      <c r="F30" s="16" t="str">
        <f>IFERROR(((#REF!*C30)*0.02),"")</f>
        <v/>
      </c>
    </row>
    <row r="31" spans="1:6">
      <c r="E31" s="6" t="s">
        <v>37</v>
      </c>
      <c r="F31" s="16" t="str">
        <f>IFERROR(((#REF!*C31)*0.02),"")</f>
        <v/>
      </c>
    </row>
    <row r="32" spans="1:6">
      <c r="E32" s="6" t="s">
        <v>37</v>
      </c>
      <c r="F32" s="16" t="str">
        <f>IFERROR(((#REF!*C32)*0.02),"")</f>
        <v/>
      </c>
    </row>
    <row r="33" spans="5:6">
      <c r="E33" s="6" t="s">
        <v>37</v>
      </c>
      <c r="F33" s="16" t="str">
        <f>IFERROR(((#REF!*C33)*0.02),"")</f>
        <v/>
      </c>
    </row>
    <row r="34" spans="5:6">
      <c r="E34" s="6" t="s">
        <v>37</v>
      </c>
      <c r="F34" s="16" t="str">
        <f>IFERROR(((#REF!*C34)*0.02),"")</f>
        <v/>
      </c>
    </row>
    <row r="35" spans="5:6">
      <c r="E35" s="6" t="s">
        <v>37</v>
      </c>
      <c r="F35" s="16" t="str">
        <f>IFERROR(((#REF!*C35)*0.02),"")</f>
        <v/>
      </c>
    </row>
    <row r="36" spans="5:6">
      <c r="E36" s="6" t="s">
        <v>37</v>
      </c>
      <c r="F36" s="16" t="str">
        <f>IFERROR(((#REF!*C36)*0.02),"")</f>
        <v/>
      </c>
    </row>
    <row r="37" spans="5:6">
      <c r="E37" s="6" t="s">
        <v>37</v>
      </c>
      <c r="F37" s="16" t="str">
        <f>IFERROR(((#REF!*C37)*0.02),"")</f>
        <v/>
      </c>
    </row>
    <row r="38" spans="5:6">
      <c r="E38" s="6" t="s">
        <v>37</v>
      </c>
      <c r="F38" s="16" t="str">
        <f>IFERROR(((#REF!*C38)*0.02),"")</f>
        <v/>
      </c>
    </row>
    <row r="39" spans="5:6">
      <c r="E39" s="6" t="s">
        <v>37</v>
      </c>
      <c r="F39" s="16" t="str">
        <f>IFERROR(((#REF!*C39)*0.02),"")</f>
        <v/>
      </c>
    </row>
    <row r="40" spans="5:6">
      <c r="E40" s="6" t="s">
        <v>37</v>
      </c>
      <c r="F40" s="16" t="str">
        <f>IFERROR(((#REF!*C40)*0.02),"")</f>
        <v/>
      </c>
    </row>
    <row r="41" spans="5:6">
      <c r="E41" s="6" t="s">
        <v>37</v>
      </c>
      <c r="F41" s="16" t="str">
        <f>IFERROR(((#REF!*C41)*0.02),"")</f>
        <v/>
      </c>
    </row>
    <row r="42" spans="5:6">
      <c r="E42" s="6" t="s">
        <v>37</v>
      </c>
      <c r="F42" s="16" t="str">
        <f>IFERROR(((#REF!*C42)*0.02),"")</f>
        <v/>
      </c>
    </row>
    <row r="43" spans="5:6">
      <c r="E43" s="6" t="s">
        <v>37</v>
      </c>
      <c r="F43" s="16" t="str">
        <f>IFERROR(((#REF!*C43)*0.02),"")</f>
        <v/>
      </c>
    </row>
    <row r="44" spans="5:6">
      <c r="E44" s="6" t="s">
        <v>37</v>
      </c>
      <c r="F44" s="16" t="str">
        <f>IFERROR(((#REF!*C44)*0.02),"")</f>
        <v/>
      </c>
    </row>
    <row r="45" spans="5:6">
      <c r="E45" s="6" t="s">
        <v>37</v>
      </c>
      <c r="F45" s="16" t="str">
        <f>IFERROR(((#REF!*C45)*0.02),"")</f>
        <v/>
      </c>
    </row>
    <row r="46" spans="5:6">
      <c r="E46" s="6" t="s">
        <v>37</v>
      </c>
      <c r="F46" s="16" t="str">
        <f>IFERROR(((#REF!*C46)*0.02),"")</f>
        <v/>
      </c>
    </row>
    <row r="47" spans="5:6">
      <c r="E47" s="6" t="s">
        <v>37</v>
      </c>
      <c r="F47" s="16" t="str">
        <f>IFERROR(((#REF!*C47)*0.02),"")</f>
        <v/>
      </c>
    </row>
    <row r="48" spans="5:6">
      <c r="E48" s="6" t="s">
        <v>37</v>
      </c>
      <c r="F48" s="16" t="str">
        <f>IFERROR(((#REF!*C48)*0.02),"")</f>
        <v/>
      </c>
    </row>
    <row r="49" spans="5:6">
      <c r="E49" s="6" t="s">
        <v>37</v>
      </c>
      <c r="F49" s="16" t="str">
        <f>IFERROR(((#REF!*C49)*0.02),"")</f>
        <v/>
      </c>
    </row>
    <row r="50" spans="5:6">
      <c r="E50" s="6" t="s">
        <v>37</v>
      </c>
      <c r="F50" s="16" t="str">
        <f>IFERROR(((#REF!*C50)*0.02),"")</f>
        <v/>
      </c>
    </row>
    <row r="51" spans="5:6">
      <c r="E51" s="6" t="s">
        <v>37</v>
      </c>
      <c r="F51" s="16" t="str">
        <f>IFERROR(((#REF!*C51)*0.02),"")</f>
        <v/>
      </c>
    </row>
    <row r="52" spans="5:6">
      <c r="E52" s="6" t="s">
        <v>37</v>
      </c>
      <c r="F52" s="16" t="str">
        <f>IFERROR(((#REF!*C52)*0.02),"")</f>
        <v/>
      </c>
    </row>
    <row r="53" spans="5:6">
      <c r="E53" s="6" t="s">
        <v>37</v>
      </c>
      <c r="F53" s="16" t="str">
        <f>IFERROR(((#REF!*C53)*0.02),"")</f>
        <v/>
      </c>
    </row>
    <row r="54" spans="5:6">
      <c r="E54" s="6" t="s">
        <v>37</v>
      </c>
      <c r="F54" s="16" t="str">
        <f>IFERROR(((#REF!*C54)*0.02),"")</f>
        <v/>
      </c>
    </row>
    <row r="55" spans="5:6">
      <c r="E55" s="6" t="s">
        <v>37</v>
      </c>
      <c r="F55" s="16" t="str">
        <f>IFERROR(((#REF!*C55)*0.02),"")</f>
        <v/>
      </c>
    </row>
    <row r="56" spans="5:6">
      <c r="E56" s="6" t="s">
        <v>37</v>
      </c>
      <c r="F56" s="16" t="str">
        <f>IFERROR(((#REF!*C56)*0.02),"")</f>
        <v/>
      </c>
    </row>
    <row r="57" spans="5:6">
      <c r="E57" s="6" t="s">
        <v>37</v>
      </c>
      <c r="F57" s="16" t="str">
        <f>IFERROR(((#REF!*C57)*0.02),"")</f>
        <v/>
      </c>
    </row>
    <row r="58" spans="5:6">
      <c r="E58" s="6" t="s">
        <v>37</v>
      </c>
      <c r="F58" s="16" t="str">
        <f>IFERROR(((#REF!*C58)*0.02),"")</f>
        <v/>
      </c>
    </row>
    <row r="59" spans="5:6">
      <c r="E59" s="6" t="s">
        <v>37</v>
      </c>
      <c r="F59" s="16" t="str">
        <f>IFERROR(((#REF!*C59)*0.02),"")</f>
        <v/>
      </c>
    </row>
    <row r="60" spans="5:6">
      <c r="E60" s="6" t="s">
        <v>37</v>
      </c>
      <c r="F60" s="16" t="str">
        <f>IFERROR(((#REF!*C60)*0.02),"")</f>
        <v/>
      </c>
    </row>
    <row r="61" spans="5:6">
      <c r="E61" s="6" t="s">
        <v>37</v>
      </c>
      <c r="F61" s="16" t="str">
        <f>IFERROR(((#REF!*C61)*0.02),"")</f>
        <v/>
      </c>
    </row>
    <row r="62" spans="5:6">
      <c r="E62" s="6" t="s">
        <v>37</v>
      </c>
      <c r="F62" s="16" t="str">
        <f>IFERROR(((#REF!*C62)*0.02),"")</f>
        <v/>
      </c>
    </row>
    <row r="63" spans="5:6">
      <c r="E63" s="6" t="s">
        <v>37</v>
      </c>
      <c r="F63" s="16" t="str">
        <f>IFERROR(((#REF!*C63)*0.02),"")</f>
        <v/>
      </c>
    </row>
    <row r="64" spans="5:6">
      <c r="E64" s="6" t="s">
        <v>37</v>
      </c>
      <c r="F64" s="16" t="str">
        <f>IFERROR(((#REF!*C64)*0.02),"")</f>
        <v/>
      </c>
    </row>
    <row r="65" spans="5:6">
      <c r="E65" s="6" t="s">
        <v>37</v>
      </c>
      <c r="F65" s="16" t="str">
        <f>IFERROR(((#REF!*C65)*0.02),"")</f>
        <v/>
      </c>
    </row>
    <row r="66" spans="5:6">
      <c r="E66" s="6" t="s">
        <v>37</v>
      </c>
      <c r="F66" s="16" t="str">
        <f>IFERROR(((#REF!*C66)*0.02),"")</f>
        <v/>
      </c>
    </row>
    <row r="67" spans="5:6">
      <c r="E67" s="6" t="s">
        <v>37</v>
      </c>
      <c r="F67" s="16" t="str">
        <f>IFERROR(((#REF!*C67)*0.02),"")</f>
        <v/>
      </c>
    </row>
    <row r="68" spans="5:6">
      <c r="E68" s="6" t="s">
        <v>37</v>
      </c>
      <c r="F68" s="16" t="str">
        <f>IFERROR(((#REF!*C68)*0.02),"")</f>
        <v/>
      </c>
    </row>
    <row r="69" spans="5:6">
      <c r="E69" s="6" t="s">
        <v>37</v>
      </c>
      <c r="F69" s="16" t="str">
        <f>IFERROR(((#REF!*C69)*0.02),"")</f>
        <v/>
      </c>
    </row>
    <row r="70" spans="5:6">
      <c r="E70" s="6" t="s">
        <v>37</v>
      </c>
      <c r="F70" s="16" t="str">
        <f>IFERROR(((#REF!*C70)*0.02),"")</f>
        <v/>
      </c>
    </row>
    <row r="71" spans="5:6">
      <c r="E71" s="6" t="s">
        <v>37</v>
      </c>
      <c r="F71" s="16" t="str">
        <f>IFERROR(((#REF!*C71)*0.02),"")</f>
        <v/>
      </c>
    </row>
    <row r="72" spans="5:6">
      <c r="E72" s="6" t="s">
        <v>37</v>
      </c>
      <c r="F72" s="16" t="str">
        <f>IFERROR(((#REF!*C72)*0.02),"")</f>
        <v/>
      </c>
    </row>
    <row r="73" spans="5:6">
      <c r="E73" s="6" t="s">
        <v>37</v>
      </c>
      <c r="F73" s="16" t="str">
        <f>IFERROR(((#REF!*C73)*0.02),"")</f>
        <v/>
      </c>
    </row>
    <row r="74" spans="5:6">
      <c r="E74" s="6" t="s">
        <v>37</v>
      </c>
      <c r="F74" s="16" t="str">
        <f>IFERROR(((#REF!*C74)*0.02),"")</f>
        <v/>
      </c>
    </row>
    <row r="75" spans="5:6">
      <c r="E75" s="6" t="s">
        <v>37</v>
      </c>
      <c r="F75" s="16" t="str">
        <f>IFERROR(((#REF!*C75)*0.02),"")</f>
        <v/>
      </c>
    </row>
    <row r="76" spans="5:6">
      <c r="E76" s="6" t="s">
        <v>37</v>
      </c>
      <c r="F76" s="16" t="str">
        <f>IFERROR(((#REF!*C76)*0.02),"")</f>
        <v/>
      </c>
    </row>
    <row r="77" spans="5:6">
      <c r="E77" s="6" t="s">
        <v>37</v>
      </c>
      <c r="F77" s="16" t="str">
        <f>IFERROR(((#REF!*C77)*0.02),"")</f>
        <v/>
      </c>
    </row>
    <row r="78" spans="5:6">
      <c r="E78" s="6" t="s">
        <v>37</v>
      </c>
      <c r="F78" s="16" t="str">
        <f>IFERROR(((#REF!*C78)*0.02),"")</f>
        <v/>
      </c>
    </row>
    <row r="79" spans="5:6">
      <c r="E79" s="6" t="s">
        <v>37</v>
      </c>
      <c r="F79" s="16" t="str">
        <f>IFERROR(((#REF!*C79)*0.02),"")</f>
        <v/>
      </c>
    </row>
    <row r="80" spans="5:6">
      <c r="E80" s="6" t="s">
        <v>37</v>
      </c>
      <c r="F80" s="16" t="str">
        <f>IFERROR(((#REF!*C80)*0.02),"")</f>
        <v/>
      </c>
    </row>
    <row r="81" spans="5:6">
      <c r="E81" s="6" t="s">
        <v>37</v>
      </c>
      <c r="F81" s="16" t="str">
        <f>IFERROR(((#REF!*C81)*0.02),"")</f>
        <v/>
      </c>
    </row>
    <row r="82" spans="5:6">
      <c r="E82" s="6" t="s">
        <v>37</v>
      </c>
      <c r="F82" s="16" t="str">
        <f>IFERROR(((#REF!*C82)*0.02),"")</f>
        <v/>
      </c>
    </row>
    <row r="83" spans="5:6">
      <c r="E83" s="6" t="s">
        <v>37</v>
      </c>
      <c r="F83" s="16" t="str">
        <f>IFERROR(((#REF!*C83)*0.02),"")</f>
        <v/>
      </c>
    </row>
    <row r="84" spans="5:6">
      <c r="E84" s="6" t="s">
        <v>37</v>
      </c>
      <c r="F84" s="16" t="str">
        <f>IFERROR(((#REF!*C84)*0.02),"")</f>
        <v/>
      </c>
    </row>
    <row r="85" spans="5:6">
      <c r="E85" s="6" t="s">
        <v>37</v>
      </c>
      <c r="F85" s="16" t="str">
        <f>IFERROR(((#REF!*C85)*0.02),"")</f>
        <v/>
      </c>
    </row>
    <row r="86" spans="5:6">
      <c r="E86" s="6" t="s">
        <v>37</v>
      </c>
      <c r="F86" s="16" t="str">
        <f>IFERROR(((#REF!*C86)*0.02),"")</f>
        <v/>
      </c>
    </row>
    <row r="87" spans="5:6">
      <c r="E87" s="6" t="s">
        <v>37</v>
      </c>
      <c r="F87" s="16" t="str">
        <f>IFERROR(((#REF!*C87)*0.02),"")</f>
        <v/>
      </c>
    </row>
    <row r="88" spans="5:6">
      <c r="E88" s="6" t="s">
        <v>37</v>
      </c>
      <c r="F88" s="16" t="str">
        <f>IFERROR(((#REF!*C88)*0.02),"")</f>
        <v/>
      </c>
    </row>
    <row r="89" spans="5:6">
      <c r="E89" s="6" t="s">
        <v>37</v>
      </c>
      <c r="F89" s="16" t="str">
        <f>IFERROR(((#REF!*C89)*0.02),"")</f>
        <v/>
      </c>
    </row>
    <row r="90" spans="5:6">
      <c r="E90" s="6" t="s">
        <v>37</v>
      </c>
      <c r="F90" s="16" t="str">
        <f>IFERROR(((#REF!*C90)*0.02),"")</f>
        <v/>
      </c>
    </row>
    <row r="91" spans="5:6">
      <c r="E91" s="6" t="s">
        <v>37</v>
      </c>
      <c r="F91" s="16" t="str">
        <f>IFERROR(((#REF!*C91)*0.02),"")</f>
        <v/>
      </c>
    </row>
    <row r="92" spans="5:6">
      <c r="E92" s="6" t="s">
        <v>37</v>
      </c>
      <c r="F92" s="16" t="str">
        <f>IFERROR(((#REF!*C92)*0.02),"")</f>
        <v/>
      </c>
    </row>
    <row r="93" spans="5:6">
      <c r="E93" s="6" t="s">
        <v>37</v>
      </c>
      <c r="F93" s="16" t="str">
        <f>IFERROR(((#REF!*C93)*0.02),"")</f>
        <v/>
      </c>
    </row>
    <row r="94" spans="5:6">
      <c r="E94" s="6" t="s">
        <v>37</v>
      </c>
      <c r="F94" s="16" t="str">
        <f>IFERROR(((#REF!*C94)*0.02),"")</f>
        <v/>
      </c>
    </row>
    <row r="95" spans="5:6">
      <c r="E95" s="6" t="s">
        <v>37</v>
      </c>
      <c r="F95" s="16" t="str">
        <f>IFERROR(((#REF!*C95)*0.02),"")</f>
        <v/>
      </c>
    </row>
    <row r="96" spans="5:6">
      <c r="E96" s="6" t="s">
        <v>37</v>
      </c>
      <c r="F96" s="16" t="str">
        <f>IFERROR(((#REF!*C96)*0.02),"")</f>
        <v/>
      </c>
    </row>
    <row r="97" spans="5:6">
      <c r="E97" s="6" t="s">
        <v>37</v>
      </c>
      <c r="F97" s="16" t="str">
        <f>IFERROR(((#REF!*C97)*0.02),"")</f>
        <v/>
      </c>
    </row>
    <row r="98" spans="5:6">
      <c r="E98" s="6" t="s">
        <v>37</v>
      </c>
      <c r="F98" s="16" t="str">
        <f>IFERROR(((#REF!*C98)*0.02),"")</f>
        <v/>
      </c>
    </row>
    <row r="99" spans="5:6">
      <c r="E99" s="6" t="s">
        <v>37</v>
      </c>
      <c r="F99" s="16" t="str">
        <f>IFERROR(((#REF!*C99)*0.02),"")</f>
        <v/>
      </c>
    </row>
    <row r="100" spans="5:6">
      <c r="E100" s="6" t="s">
        <v>37</v>
      </c>
      <c r="F100" s="16" t="str">
        <f>IFERROR(((#REF!*C100)*0.02),"")</f>
        <v/>
      </c>
    </row>
    <row r="101" spans="5:6">
      <c r="E101" s="6" t="s">
        <v>37</v>
      </c>
      <c r="F101" s="16" t="str">
        <f>IFERROR(((#REF!*C101)*0.02),"")</f>
        <v/>
      </c>
    </row>
    <row r="102" spans="5:6">
      <c r="E102" s="6" t="s">
        <v>37</v>
      </c>
      <c r="F102" s="16" t="str">
        <f>IFERROR(((#REF!*C102)*0.02),"")</f>
        <v/>
      </c>
    </row>
    <row r="103" spans="5:6">
      <c r="E103" s="6" t="s">
        <v>37</v>
      </c>
      <c r="F103" s="16" t="str">
        <f>IFERROR(((#REF!*C103)*0.02),"")</f>
        <v/>
      </c>
    </row>
    <row r="104" spans="5:6">
      <c r="E104" s="6" t="s">
        <v>37</v>
      </c>
      <c r="F104" s="16" t="str">
        <f>IFERROR(((#REF!*C104)*0.02),"")</f>
        <v/>
      </c>
    </row>
    <row r="105" spans="5:6">
      <c r="E105" s="6" t="s">
        <v>37</v>
      </c>
      <c r="F105" s="16" t="str">
        <f>IFERROR(((#REF!*C105)*0.02),"")</f>
        <v/>
      </c>
    </row>
    <row r="106" spans="5:6">
      <c r="E106" s="6" t="s">
        <v>37</v>
      </c>
      <c r="F106" s="16" t="str">
        <f>IFERROR(((#REF!*C106)*0.02),"")</f>
        <v/>
      </c>
    </row>
    <row r="107" spans="5:6">
      <c r="E107" s="6" t="s">
        <v>37</v>
      </c>
      <c r="F107" s="16" t="str">
        <f>IFERROR(((#REF!*C107)*0.02),"")</f>
        <v/>
      </c>
    </row>
    <row r="108" spans="5:6">
      <c r="E108" s="6" t="s">
        <v>37</v>
      </c>
      <c r="F108" s="16" t="str">
        <f>IFERROR(((#REF!*C108)*0.02),"")</f>
        <v/>
      </c>
    </row>
    <row r="109" spans="5:6">
      <c r="E109" s="6" t="s">
        <v>37</v>
      </c>
      <c r="F109" s="16" t="str">
        <f>IFERROR(((#REF!*C109)*0.02),"")</f>
        <v/>
      </c>
    </row>
    <row r="110" spans="5:6">
      <c r="E110" s="6" t="s">
        <v>37</v>
      </c>
      <c r="F110" s="16" t="str">
        <f>IFERROR(((#REF!*C110)*0.02),"")</f>
        <v/>
      </c>
    </row>
    <row r="111" spans="5:6">
      <c r="E111" s="6" t="s">
        <v>37</v>
      </c>
      <c r="F111" s="16" t="str">
        <f>IFERROR(((#REF!*C111)*0.02),"")</f>
        <v/>
      </c>
    </row>
    <row r="112" spans="5:6">
      <c r="E112" s="6" t="s">
        <v>37</v>
      </c>
      <c r="F112" s="16" t="str">
        <f>IFERROR(((#REF!*C112)*0.02),"")</f>
        <v/>
      </c>
    </row>
    <row r="113" spans="5:6">
      <c r="E113" s="6" t="s">
        <v>37</v>
      </c>
      <c r="F113" s="16" t="str">
        <f>IFERROR(((#REF!*C113)*0.02),"")</f>
        <v/>
      </c>
    </row>
    <row r="114" spans="5:6">
      <c r="E114" s="6" t="s">
        <v>37</v>
      </c>
      <c r="F114" s="16" t="str">
        <f>IFERROR(((#REF!*C114)*0.02),"")</f>
        <v/>
      </c>
    </row>
    <row r="115" spans="5:6">
      <c r="E115" s="6" t="s">
        <v>37</v>
      </c>
      <c r="F115" s="16" t="str">
        <f>IFERROR(((#REF!*C115)*0.02),"")</f>
        <v/>
      </c>
    </row>
    <row r="116" spans="5:6">
      <c r="E116" s="6" t="s">
        <v>37</v>
      </c>
      <c r="F116" s="16" t="str">
        <f>IFERROR(((#REF!*C116)*0.02),"")</f>
        <v/>
      </c>
    </row>
    <row r="117" spans="5:6">
      <c r="E117" s="6" t="s">
        <v>37</v>
      </c>
      <c r="F117" s="16" t="str">
        <f>IFERROR(((#REF!*C117)*0.02),"")</f>
        <v/>
      </c>
    </row>
    <row r="118" spans="5:6">
      <c r="E118" s="6" t="s">
        <v>37</v>
      </c>
      <c r="F118" s="16" t="str">
        <f>IFERROR(((#REF!*C118)*0.02),"")</f>
        <v/>
      </c>
    </row>
    <row r="119" spans="5:6">
      <c r="E119" s="6" t="s">
        <v>37</v>
      </c>
      <c r="F119" s="16" t="str">
        <f>IFERROR(((#REF!*C119)*0.02),"")</f>
        <v/>
      </c>
    </row>
    <row r="120" spans="5:6">
      <c r="E120" s="6" t="s">
        <v>37</v>
      </c>
      <c r="F120" s="16" t="str">
        <f>IFERROR(((#REF!*C120)*0.02),"")</f>
        <v/>
      </c>
    </row>
    <row r="121" spans="5:6">
      <c r="E121" s="6" t="s">
        <v>37</v>
      </c>
      <c r="F121" s="16" t="str">
        <f>IFERROR(((#REF!*C121)*0.02),"")</f>
        <v/>
      </c>
    </row>
    <row r="122" spans="5:6">
      <c r="E122" s="6" t="s">
        <v>37</v>
      </c>
      <c r="F122" s="16" t="str">
        <f>IFERROR(((#REF!*C122)*0.02),"")</f>
        <v/>
      </c>
    </row>
    <row r="123" spans="5:6">
      <c r="E123" s="6" t="s">
        <v>37</v>
      </c>
      <c r="F123" s="16" t="str">
        <f>IFERROR(((#REF!*C123)*0.02),"")</f>
        <v/>
      </c>
    </row>
    <row r="124" spans="5:6">
      <c r="E124" s="6" t="s">
        <v>37</v>
      </c>
      <c r="F124" s="16" t="str">
        <f>IFERROR(((#REF!*C124)*0.02),"")</f>
        <v/>
      </c>
    </row>
    <row r="125" spans="5:6">
      <c r="E125" s="6" t="s">
        <v>37</v>
      </c>
      <c r="F125" s="16" t="str">
        <f>IFERROR(((#REF!*C125)*0.02),"")</f>
        <v/>
      </c>
    </row>
    <row r="126" spans="5:6">
      <c r="E126" s="6" t="s">
        <v>37</v>
      </c>
      <c r="F126" s="16" t="str">
        <f>IFERROR(((#REF!*C126)*0.02),"")</f>
        <v/>
      </c>
    </row>
    <row r="127" spans="5:6">
      <c r="E127" s="6" t="s">
        <v>37</v>
      </c>
      <c r="F127" s="16" t="str">
        <f>IFERROR(((#REF!*C127)*0.02),"")</f>
        <v/>
      </c>
    </row>
    <row r="128" spans="5:6">
      <c r="E128" s="6" t="s">
        <v>37</v>
      </c>
      <c r="F128" s="16" t="str">
        <f>IFERROR(((#REF!*C128)*0.02),"")</f>
        <v/>
      </c>
    </row>
    <row r="129" spans="5:6">
      <c r="E129" s="6" t="s">
        <v>37</v>
      </c>
      <c r="F129" s="16" t="str">
        <f>IFERROR(((#REF!*C129)*0.02),"")</f>
        <v/>
      </c>
    </row>
    <row r="130" spans="5:6">
      <c r="E130" s="6" t="s">
        <v>37</v>
      </c>
      <c r="F130" s="16" t="str">
        <f>IFERROR(((#REF!*C130)*0.02),"")</f>
        <v/>
      </c>
    </row>
    <row r="131" spans="5:6">
      <c r="E131" s="6" t="s">
        <v>37</v>
      </c>
      <c r="F131" s="16" t="str">
        <f>IFERROR(((#REF!*C131)*0.02),"")</f>
        <v/>
      </c>
    </row>
    <row r="132" spans="5:6">
      <c r="E132" s="6" t="s">
        <v>37</v>
      </c>
      <c r="F132" s="16" t="str">
        <f>IFERROR(((#REF!*C132)*0.02),"")</f>
        <v/>
      </c>
    </row>
    <row r="133" spans="5:6">
      <c r="E133" s="6" t="s">
        <v>37</v>
      </c>
      <c r="F133" s="16" t="str">
        <f>IFERROR(((#REF!*C133)*0.02),"")</f>
        <v/>
      </c>
    </row>
    <row r="134" spans="5:6">
      <c r="E134" s="6" t="s">
        <v>37</v>
      </c>
      <c r="F134" s="16" t="str">
        <f>IFERROR(((#REF!*C134)*0.02),"")</f>
        <v/>
      </c>
    </row>
    <row r="135" spans="5:6">
      <c r="E135" s="6" t="s">
        <v>37</v>
      </c>
      <c r="F135" s="16" t="str">
        <f>IFERROR(((#REF!*C135)*0.02),"")</f>
        <v/>
      </c>
    </row>
    <row r="136" spans="5:6">
      <c r="E136" s="6" t="s">
        <v>37</v>
      </c>
      <c r="F136" s="16" t="str">
        <f>IFERROR(((#REF!*C136)*0.02),"")</f>
        <v/>
      </c>
    </row>
    <row r="137" spans="5:6">
      <c r="E137" s="6" t="s">
        <v>37</v>
      </c>
      <c r="F137" s="16" t="str">
        <f>IFERROR(((#REF!*C137)*0.02),"")</f>
        <v/>
      </c>
    </row>
    <row r="138" spans="5:6">
      <c r="E138" s="6" t="s">
        <v>37</v>
      </c>
      <c r="F138" s="16" t="str">
        <f>IFERROR(((#REF!*C138)*0.02),"")</f>
        <v/>
      </c>
    </row>
    <row r="139" spans="5:6">
      <c r="E139" s="6" t="s">
        <v>37</v>
      </c>
      <c r="F139" s="16" t="str">
        <f>IFERROR(((#REF!*C139)*0.02),"")</f>
        <v/>
      </c>
    </row>
    <row r="140" spans="5:6">
      <c r="E140" s="6" t="s">
        <v>37</v>
      </c>
      <c r="F140" s="16" t="str">
        <f>IFERROR(((#REF!*C140)*0.02),"")</f>
        <v/>
      </c>
    </row>
    <row r="141" spans="5:6">
      <c r="E141" s="6" t="s">
        <v>37</v>
      </c>
      <c r="F141" s="16" t="str">
        <f>IFERROR(((#REF!*C141)*0.02),"")</f>
        <v/>
      </c>
    </row>
    <row r="142" spans="5:6">
      <c r="E142" s="6" t="s">
        <v>37</v>
      </c>
      <c r="F142" s="16" t="str">
        <f>IFERROR(((#REF!*C142)*0.02),"")</f>
        <v/>
      </c>
    </row>
    <row r="143" spans="5:6">
      <c r="E143" s="6" t="s">
        <v>37</v>
      </c>
      <c r="F143" s="16" t="str">
        <f>IFERROR(((#REF!*C143)*0.02),"")</f>
        <v/>
      </c>
    </row>
    <row r="144" spans="5:6">
      <c r="E144" s="6" t="s">
        <v>37</v>
      </c>
      <c r="F144" s="16" t="str">
        <f>IFERROR(((#REF!*C144)*0.02),"")</f>
        <v/>
      </c>
    </row>
    <row r="145" spans="5:6">
      <c r="E145" s="6" t="s">
        <v>37</v>
      </c>
      <c r="F145" s="16" t="str">
        <f>IFERROR(((#REF!*C145)*0.02),"")</f>
        <v/>
      </c>
    </row>
    <row r="146" spans="5:6">
      <c r="E146" s="6" t="s">
        <v>37</v>
      </c>
      <c r="F146" s="16" t="str">
        <f>IFERROR(((#REF!*C146)*0.02),"")</f>
        <v/>
      </c>
    </row>
    <row r="147" spans="5:6">
      <c r="E147" s="6" t="s">
        <v>37</v>
      </c>
      <c r="F147" s="16" t="str">
        <f>IFERROR(((#REF!*C147)*0.02),"")</f>
        <v/>
      </c>
    </row>
    <row r="148" spans="5:6">
      <c r="E148" s="6" t="s">
        <v>37</v>
      </c>
      <c r="F148" s="16" t="str">
        <f>IFERROR(((#REF!*C148)*0.02),"")</f>
        <v/>
      </c>
    </row>
    <row r="149" spans="5:6">
      <c r="E149" s="6" t="s">
        <v>37</v>
      </c>
      <c r="F149" s="16" t="str">
        <f>IFERROR(((#REF!*C149)*0.02),"")</f>
        <v/>
      </c>
    </row>
    <row r="150" spans="5:6">
      <c r="E150" s="6" t="s">
        <v>37</v>
      </c>
      <c r="F150" s="16" t="str">
        <f>IFERROR(((#REF!*C150)*0.02),"")</f>
        <v/>
      </c>
    </row>
    <row r="151" spans="5:6">
      <c r="E151" s="6" t="s">
        <v>37</v>
      </c>
      <c r="F151" s="16" t="str">
        <f>IFERROR(((#REF!*C151)*0.02),"")</f>
        <v/>
      </c>
    </row>
    <row r="152" spans="5:6">
      <c r="E152" s="6" t="s">
        <v>37</v>
      </c>
      <c r="F152" s="16" t="str">
        <f>IFERROR(((#REF!*C152)*0.02),"")</f>
        <v/>
      </c>
    </row>
    <row r="153" spans="5:6">
      <c r="E153" s="6" t="s">
        <v>37</v>
      </c>
      <c r="F153" s="16" t="str">
        <f>IFERROR(((#REF!*C153)*0.02),"")</f>
        <v/>
      </c>
    </row>
    <row r="154" spans="5:6">
      <c r="E154" s="6" t="s">
        <v>37</v>
      </c>
      <c r="F154" s="16" t="str">
        <f>IFERROR(((#REF!*C154)*0.02),"")</f>
        <v/>
      </c>
    </row>
    <row r="155" spans="5:6">
      <c r="E155" s="6" t="s">
        <v>37</v>
      </c>
      <c r="F155" s="16" t="str">
        <f>IFERROR(((#REF!*C155)*0.02),"")</f>
        <v/>
      </c>
    </row>
    <row r="156" spans="5:6">
      <c r="E156" s="6" t="s">
        <v>37</v>
      </c>
      <c r="F156" s="16" t="str">
        <f>IFERROR(((#REF!*C156)*0.02),"")</f>
        <v/>
      </c>
    </row>
    <row r="157" spans="5:6">
      <c r="E157" s="6" t="s">
        <v>37</v>
      </c>
      <c r="F157" s="16" t="str">
        <f>IFERROR(((#REF!*C157)*0.02),"")</f>
        <v/>
      </c>
    </row>
    <row r="158" spans="5:6">
      <c r="E158" s="6" t="s">
        <v>37</v>
      </c>
      <c r="F158" s="16" t="str">
        <f>IFERROR(((#REF!*C158)*0.02),"")</f>
        <v/>
      </c>
    </row>
    <row r="159" spans="5:6">
      <c r="E159" s="6" t="s">
        <v>37</v>
      </c>
      <c r="F159" s="16" t="str">
        <f>IFERROR(((#REF!*C159)*0.02),"")</f>
        <v/>
      </c>
    </row>
    <row r="160" spans="5:6">
      <c r="E160" s="6" t="s">
        <v>37</v>
      </c>
    </row>
    <row r="161" spans="5:5">
      <c r="E161" s="6" t="s">
        <v>37</v>
      </c>
    </row>
    <row r="162" spans="5:5">
      <c r="E162" s="6" t="s">
        <v>37</v>
      </c>
    </row>
    <row r="163" spans="5:5">
      <c r="E163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Grid</vt:lpstr>
      <vt:lpstr>Confirmation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Belt</dc:creator>
  <cp:lastModifiedBy>Mark Yaeger</cp:lastModifiedBy>
  <dcterms:created xsi:type="dcterms:W3CDTF">2024-12-23T17:08:52Z</dcterms:created>
  <dcterms:modified xsi:type="dcterms:W3CDTF">2026-04-27T18:37:48Z</dcterms:modified>
</cp:coreProperties>
</file>