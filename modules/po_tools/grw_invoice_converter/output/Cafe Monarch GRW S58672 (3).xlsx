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7240" tabRatio="600" firstSheet="0" activeTab="0" autoFilterDateGrouping="1"/>
  </bookViews>
  <sheets>
    <sheet name="Order Grid" sheetId="1" state="visible" r:id="rId1"/>
    <sheet name="Confirmation 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\$#,##0.00_);[Red]\(\$#,##0.00\)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Quicksand"/>
      <color theme="1"/>
      <sz val="11"/>
    </font>
    <font>
      <name val="Quicksand"/>
      <b val="1"/>
      <color theme="1"/>
      <sz val="11"/>
    </font>
    <font>
      <name val="Arial"/>
      <family val="1"/>
      <sz val="11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color theme="1"/>
      <sz val="10"/>
    </font>
    <font>
      <name val="Aptos Narrow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7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10" fontId="2" fillId="0" borderId="0" pivotButton="0" quotePrefix="0" xfId="2"/>
    <xf numFmtId="164" fontId="2" fillId="0" borderId="0" pivotButton="0" quotePrefix="0" xfId="2"/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2" fillId="2" borderId="0" pivotButton="0" quotePrefix="0" xfId="0"/>
    <xf numFmtId="164" fontId="5" fillId="0" borderId="0" applyAlignment="1" pivotButton="0" quotePrefix="0" xfId="1">
      <alignment horizontal="center" wrapText="1"/>
    </xf>
    <xf numFmtId="9" fontId="7" fillId="0" borderId="0" applyAlignment="1" pivotButton="0" quotePrefix="0" xfId="2">
      <alignment horizontal="center"/>
    </xf>
    <xf numFmtId="10" fontId="2" fillId="0" borderId="0" applyAlignment="1" pivotButton="0" quotePrefix="0" xfId="2">
      <alignment horizontal="center"/>
    </xf>
    <xf numFmtId="0" fontId="6" fillId="2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5" fillId="0" borderId="1" pivotButton="0" quotePrefix="0" xfId="0"/>
    <xf numFmtId="164" fontId="5" fillId="0" borderId="1" pivotButton="0" quotePrefix="0" xfId="1"/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6" fillId="0" borderId="1" pivotButton="0" quotePrefix="0" xfId="0"/>
    <xf numFmtId="164" fontId="6" fillId="0" borderId="1" pivotButton="0" quotePrefix="0" xfId="1"/>
    <xf numFmtId="0" fontId="6" fillId="0" borderId="1" applyAlignment="1" pivotButton="0" quotePrefix="0" xfId="0">
      <alignment horizontal="center"/>
    </xf>
    <xf numFmtId="0" fontId="8" fillId="2" borderId="1" pivotButton="0" quotePrefix="0" xfId="0"/>
    <xf numFmtId="0" fontId="6" fillId="2" borderId="1" pivotButton="0" quotePrefix="0" xfId="0"/>
    <xf numFmtId="164" fontId="6" fillId="2" borderId="1" pivotButton="0" quotePrefix="0" xfId="1"/>
    <xf numFmtId="164" fontId="6" fillId="2" borderId="1" pivotButton="0" quotePrefix="0" xfId="0"/>
    <xf numFmtId="0" fontId="6" fillId="2" borderId="1" applyAlignment="1" pivotButton="0" quotePrefix="0" xfId="0">
      <alignment horizontal="center"/>
    </xf>
    <xf numFmtId="164" fontId="5" fillId="0" borderId="0" applyAlignment="1" pivotButton="0" quotePrefix="0" xfId="1">
      <alignment horizontal="center"/>
    </xf>
    <xf numFmtId="10" fontId="5" fillId="0" borderId="0" applyAlignment="1" pivotButton="0" quotePrefix="0" xfId="2">
      <alignment horizontal="center"/>
    </xf>
    <xf numFmtId="0" fontId="3" fillId="0" borderId="0" applyAlignment="1" pivotButton="0" quotePrefix="0" xfId="0">
      <alignment horizontal="center"/>
    </xf>
    <xf numFmtId="165" fontId="7" fillId="0" borderId="0" applyAlignment="1" pivotButton="0" quotePrefix="0" xfId="0">
      <alignment horizontal="center"/>
    </xf>
    <xf numFmtId="164" fontId="6" fillId="0" borderId="0" applyAlignment="1" pivotButton="0" quotePrefix="0" xfId="1">
      <alignment horizontal="center"/>
    </xf>
    <xf numFmtId="164" fontId="6" fillId="0" borderId="0" applyAlignment="1" pivotButton="0" quotePrefix="0" xfId="2">
      <alignment horizontal="center"/>
    </xf>
    <xf numFmtId="164" fontId="6" fillId="0" borderId="0" applyAlignment="1" pivotButton="0" quotePrefix="0" xfId="0">
      <alignment horizontal="center"/>
    </xf>
    <xf numFmtId="10" fontId="6" fillId="0" borderId="0" applyAlignment="1" pivotButton="0" quotePrefix="0" xfId="2">
      <alignment horizontal="center"/>
    </xf>
    <xf numFmtId="0" fontId="5" fillId="2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164" fontId="5" fillId="2" borderId="0" applyAlignment="1" pivotButton="0" quotePrefix="0" xfId="1">
      <alignment horizontal="center"/>
    </xf>
    <xf numFmtId="164" fontId="6" fillId="2" borderId="0" applyAlignment="1" pivotButton="0" quotePrefix="0" xfId="1">
      <alignment horizontal="center"/>
    </xf>
    <xf numFmtId="10" fontId="6" fillId="2" borderId="0" applyAlignment="1" pivotButton="0" quotePrefix="0" xfId="2">
      <alignment horizontal="center"/>
    </xf>
    <xf numFmtId="0" fontId="2" fillId="2" borderId="0" applyAlignment="1" pivotButton="0" quotePrefix="0" xfId="0">
      <alignment horizontal="center"/>
    </xf>
    <xf numFmtId="164" fontId="2" fillId="0" borderId="0" applyAlignment="1" pivotButton="0" quotePrefix="0" xfId="1">
      <alignment horizontal="center"/>
    </xf>
    <xf numFmtId="165" fontId="4" fillId="0" borderId="0" applyAlignment="1" pivotButton="0" quotePrefix="0" xfId="0">
      <alignment horizontal="center"/>
    </xf>
    <xf numFmtId="164" fontId="2" fillId="0" borderId="0" applyAlignment="1" pivotButton="0" quotePrefix="0" xfId="2">
      <alignment horizontal="center"/>
    </xf>
    <xf numFmtId="0" fontId="6" fillId="0" borderId="0" applyAlignment="1" pivotButton="0" quotePrefix="0" xfId="0">
      <alignment horizontal="center" vertical="center"/>
    </xf>
    <xf numFmtId="164" fontId="5" fillId="3" borderId="0" applyAlignment="1" pivotButton="0" quotePrefix="0" xfId="1">
      <alignment horizontal="center"/>
    </xf>
    <xf numFmtId="165" fontId="7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164" fontId="2" fillId="3" borderId="0" applyAlignment="1" pivotButton="0" quotePrefix="0" xfId="1">
      <alignment horizontal="center"/>
    </xf>
    <xf numFmtId="0" fontId="6" fillId="0" borderId="0" pivotButton="0" quotePrefix="0" xfId="0"/>
    <xf numFmtId="164" fontId="8" fillId="2" borderId="0" applyAlignment="1" pivotButton="0" quotePrefix="0" xfId="1">
      <alignment horizontal="center"/>
    </xf>
    <xf numFmtId="164" fontId="2" fillId="0" borderId="0" applyAlignment="1" pivotButton="0" quotePrefix="0" xfId="1">
      <alignment horizontal="center"/>
    </xf>
    <xf numFmtId="164" fontId="2" fillId="3" borderId="0" applyAlignment="1" pivotButton="0" quotePrefix="0" xfId="1">
      <alignment horizontal="center"/>
    </xf>
    <xf numFmtId="164" fontId="5" fillId="0" borderId="0" applyAlignment="1" pivotButton="0" quotePrefix="0" xfId="1">
      <alignment horizontal="center"/>
    </xf>
    <xf numFmtId="164" fontId="5" fillId="3" borderId="0" applyAlignment="1" pivotButton="0" quotePrefix="0" xfId="1">
      <alignment horizontal="center"/>
    </xf>
    <xf numFmtId="164" fontId="5" fillId="0" borderId="0" applyAlignment="1" pivotButton="0" quotePrefix="0" xfId="1">
      <alignment horizontal="center" wrapText="1"/>
    </xf>
    <xf numFmtId="165" fontId="7" fillId="0" borderId="0" applyAlignment="1" pivotButton="0" quotePrefix="0" xfId="0">
      <alignment horizontal="center"/>
    </xf>
    <xf numFmtId="164" fontId="6" fillId="0" borderId="0" applyAlignment="1" pivotButton="0" quotePrefix="0" xfId="1">
      <alignment horizontal="center"/>
    </xf>
    <xf numFmtId="165" fontId="7" fillId="3" borderId="0" applyAlignment="1" pivotButton="0" quotePrefix="0" xfId="0">
      <alignment horizontal="center"/>
    </xf>
    <xf numFmtId="164" fontId="6" fillId="0" borderId="0" applyAlignment="1" pivotButton="0" quotePrefix="0" xfId="2">
      <alignment horizontal="center"/>
    </xf>
    <xf numFmtId="164" fontId="6" fillId="0" borderId="0" applyAlignment="1" pivotButton="0" quotePrefix="0" xfId="0">
      <alignment horizontal="center"/>
    </xf>
    <xf numFmtId="164" fontId="5" fillId="2" borderId="0" applyAlignment="1" pivotButton="0" quotePrefix="0" xfId="1">
      <alignment horizontal="center"/>
    </xf>
    <xf numFmtId="164" fontId="6" fillId="2" borderId="0" applyAlignment="1" pivotButton="0" quotePrefix="0" xfId="1">
      <alignment horizontal="center"/>
    </xf>
    <xf numFmtId="164" fontId="8" fillId="2" borderId="0" applyAlignment="1" pivotButton="0" quotePrefix="0" xfId="1">
      <alignment horizontal="center"/>
    </xf>
    <xf numFmtId="164" fontId="2" fillId="0" borderId="0" applyAlignment="1" pivotButton="0" quotePrefix="0" xfId="0">
      <alignment horizontal="center"/>
    </xf>
    <xf numFmtId="164" fontId="2" fillId="0" borderId="0" applyAlignment="1" pivotButton="0" quotePrefix="0" xfId="2">
      <alignment horizontal="center"/>
    </xf>
    <xf numFmtId="165" fontId="4" fillId="0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164" fontId="5" fillId="0" borderId="1" pivotButton="0" quotePrefix="0" xfId="1"/>
    <xf numFmtId="164" fontId="6" fillId="0" borderId="1" pivotButton="0" quotePrefix="0" xfId="1"/>
    <xf numFmtId="164" fontId="6" fillId="2" borderId="1" pivotButton="0" quotePrefix="0" xfId="1"/>
    <xf numFmtId="164" fontId="6" fillId="2" borderId="1" pivotButton="0" quotePrefix="0" xfId="0"/>
    <xf numFmtId="164" fontId="2" fillId="0" borderId="0" pivotButton="0" quotePrefix="0" xfId="2"/>
  </cellXfs>
  <cellStyles count="3">
    <cellStyle name="Normal" xfId="0" builtinId="0"/>
    <cellStyle name="Currency" xfId="1" builtinId="4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tabSelected="1" zoomScale="150" workbookViewId="0">
      <selection activeCell="R1" sqref="R1"/>
    </sheetView>
  </sheetViews>
  <sheetFormatPr baseColWidth="10" defaultColWidth="8.83203125" defaultRowHeight="15"/>
  <cols>
    <col width="12.5" bestFit="1" customWidth="1" style="3" min="1" max="1"/>
    <col width="58.83203125" bestFit="1" customWidth="1" style="4" min="2" max="2"/>
    <col width="8.5" bestFit="1" customWidth="1" style="3" min="3" max="3"/>
    <col width="12" customWidth="1" style="3" min="4" max="4"/>
    <col width="3.6640625" bestFit="1" customWidth="1" style="3" min="5" max="5"/>
    <col width="8.83203125" bestFit="1" customWidth="1" style="3" min="6" max="6"/>
    <col width="10.6640625" bestFit="1" customWidth="1" style="55" min="7" max="7"/>
    <col width="13.1640625" bestFit="1" customWidth="1" style="3" min="8" max="8"/>
    <col width="12.1640625" customWidth="1" style="3" min="9" max="9"/>
    <col width="2.6640625" customWidth="1" style="56" min="10" max="10"/>
    <col width="11.1640625" bestFit="1" customWidth="1" style="55" min="11" max="11"/>
    <col width="12.1640625" bestFit="1" customWidth="1" style="14" min="12" max="12"/>
    <col width="6.83203125" customWidth="1" style="14" min="13" max="13"/>
    <col width="12.33203125" bestFit="1" customWidth="1" style="14" min="14" max="14"/>
    <col width="12.83203125" customWidth="1" style="3" min="15" max="15"/>
    <col width="10" bestFit="1" customWidth="1" style="3" min="16" max="16"/>
    <col width="10.1640625" bestFit="1" customWidth="1" style="3" min="17" max="17"/>
    <col width="12.33203125" customWidth="1" style="3" min="18" max="18"/>
    <col width="18.33203125" customWidth="1" style="3" min="19" max="19"/>
    <col width="8.83203125" customWidth="1" style="3" min="20" max="16384"/>
  </cols>
  <sheetData>
    <row r="1" ht="48" customFormat="1" customHeight="1" s="32">
      <c r="A1" s="8" t="inlineStr">
        <is>
          <t>Item Number</t>
        </is>
      </c>
      <c r="B1" s="7" t="inlineStr">
        <is>
          <t>Item Description</t>
        </is>
      </c>
      <c r="C1" s="8" t="inlineStr">
        <is>
          <t>Supplier</t>
        </is>
      </c>
      <c r="D1" s="8" t="inlineStr">
        <is>
          <t>GRW Order #</t>
        </is>
      </c>
      <c r="E1" s="8" t="inlineStr">
        <is>
          <t>PK</t>
        </is>
      </c>
      <c r="F1" s="8" t="inlineStr">
        <is>
          <t>Quantity</t>
        </is>
      </c>
      <c r="G1" s="57" t="inlineStr">
        <is>
          <t>FOB Btl</t>
        </is>
      </c>
      <c r="H1" s="57" t="inlineStr">
        <is>
          <t>Frontline</t>
        </is>
      </c>
      <c r="I1" s="8" t="inlineStr">
        <is>
          <t>Account</t>
        </is>
      </c>
      <c r="J1" s="58" t="n"/>
      <c r="K1" s="57" t="inlineStr">
        <is>
          <t>FOB Case</t>
        </is>
      </c>
      <c r="L1" s="57" t="inlineStr">
        <is>
          <t>Ext Cost</t>
        </is>
      </c>
      <c r="M1" s="59" t="inlineStr">
        <is>
          <t>STM Markup %</t>
        </is>
      </c>
      <c r="N1" s="57" t="inlineStr">
        <is>
          <t>Ext Price</t>
        </is>
      </c>
      <c r="O1" s="31" t="n"/>
      <c r="P1" s="8" t="n"/>
      <c r="Q1" s="8" t="n"/>
      <c r="R1" s="8" t="n"/>
      <c r="S1" s="8" t="n"/>
    </row>
    <row r="2">
      <c r="A2" s="9" t="n"/>
      <c r="B2" s="53" t="inlineStr">
        <is>
          <t>Chateau Haut Brion 1998 1/750ml</t>
        </is>
      </c>
      <c r="C2" s="47" t="n"/>
      <c r="D2" s="47" t="inlineStr">
        <is>
          <t>S58672</t>
        </is>
      </c>
      <c r="E2" s="53" t="n">
        <v>1</v>
      </c>
      <c r="F2" s="9" t="n">
        <v>1</v>
      </c>
      <c r="G2" s="60" t="n">
        <v>695</v>
      </c>
      <c r="H2" s="61" t="n">
        <v>800</v>
      </c>
      <c r="I2" s="9" t="inlineStr">
        <is>
          <t>Cafe Monarch</t>
        </is>
      </c>
      <c r="J2" s="62" t="n"/>
      <c r="K2" s="60" t="n">
        <v>695</v>
      </c>
      <c r="L2" s="60" t="n">
        <v>695</v>
      </c>
      <c r="M2" s="13" t="n"/>
      <c r="N2" s="61" t="n">
        <v>800</v>
      </c>
      <c r="O2" s="63" t="n"/>
      <c r="P2" s="64" t="n"/>
      <c r="Q2" s="61" t="n"/>
      <c r="R2" s="64" t="n"/>
      <c r="S2" s="37" t="n"/>
    </row>
    <row r="3">
      <c r="A3" s="9" t="n"/>
      <c r="B3" s="53" t="inlineStr">
        <is>
          <t>La Mission Haut Brion 2009 1/750ml</t>
        </is>
      </c>
      <c r="C3" s="47" t="n"/>
      <c r="D3" s="47" t="inlineStr">
        <is>
          <t>S58672</t>
        </is>
      </c>
      <c r="E3" s="53" t="n">
        <v>1</v>
      </c>
      <c r="F3" s="9" t="n">
        <v>1</v>
      </c>
      <c r="G3" s="60" t="n">
        <v>550</v>
      </c>
      <c r="H3" s="61" t="n">
        <v>633</v>
      </c>
      <c r="I3" s="9" t="inlineStr">
        <is>
          <t>Cafe Monarch</t>
        </is>
      </c>
      <c r="J3" s="62" t="n"/>
      <c r="K3" s="60" t="n">
        <v>550</v>
      </c>
      <c r="L3" s="60" t="n">
        <v>550</v>
      </c>
      <c r="M3" s="13" t="n"/>
      <c r="N3" s="61" t="n">
        <v>633</v>
      </c>
      <c r="O3" s="63" t="n"/>
      <c r="P3" s="64" t="n"/>
      <c r="Q3" s="61" t="n"/>
      <c r="R3" s="64" t="n"/>
      <c r="S3" s="37" t="n"/>
    </row>
    <row r="4">
      <c r="A4" s="9" t="n"/>
      <c r="B4" s="53" t="inlineStr">
        <is>
          <t>Chateau Mouton Rothschild 1982 1/750ml</t>
        </is>
      </c>
      <c r="C4" s="47" t="n"/>
      <c r="D4" s="47" t="inlineStr">
        <is>
          <t>S58672</t>
        </is>
      </c>
      <c r="E4" s="53" t="n">
        <v>1</v>
      </c>
      <c r="F4" s="9" t="n">
        <v>1</v>
      </c>
      <c r="G4" s="60" t="n">
        <v>1395</v>
      </c>
      <c r="H4" s="61" t="n">
        <v>1605</v>
      </c>
      <c r="I4" s="9" t="inlineStr">
        <is>
          <t>Cafe Monarch</t>
        </is>
      </c>
      <c r="J4" s="62" t="n"/>
      <c r="K4" s="60" t="n">
        <v>1395</v>
      </c>
      <c r="L4" s="60" t="n">
        <v>1395</v>
      </c>
      <c r="M4" s="13" t="n"/>
      <c r="N4" s="61" t="n">
        <v>1605</v>
      </c>
      <c r="O4" s="63" t="n"/>
      <c r="P4" s="64" t="n"/>
      <c r="Q4" s="61" t="n"/>
      <c r="R4" s="64" t="n"/>
      <c r="S4" s="37" t="n"/>
    </row>
    <row r="5">
      <c r="A5" s="9" t="n"/>
      <c r="B5" s="53" t="inlineStr">
        <is>
          <t>Chateau Troplong Mondot 2005 1/750ml</t>
        </is>
      </c>
      <c r="C5" s="47" t="n"/>
      <c r="D5" s="47" t="inlineStr">
        <is>
          <t>S58672</t>
        </is>
      </c>
      <c r="E5" s="53" t="n">
        <v>1</v>
      </c>
      <c r="F5" s="9" t="n">
        <v>1</v>
      </c>
      <c r="G5" s="60" t="n">
        <v>285</v>
      </c>
      <c r="H5" s="61" t="n">
        <v>328</v>
      </c>
      <c r="I5" s="9" t="inlineStr">
        <is>
          <t>Cafe Monarch</t>
        </is>
      </c>
      <c r="J5" s="62" t="n"/>
      <c r="K5" s="60" t="n">
        <v>285</v>
      </c>
      <c r="L5" s="60" t="n">
        <v>285</v>
      </c>
      <c r="M5" s="13" t="n"/>
      <c r="N5" s="61" t="n">
        <v>328</v>
      </c>
      <c r="O5" s="63" t="n"/>
      <c r="P5" s="64" t="n"/>
      <c r="Q5" s="61" t="n"/>
      <c r="R5" s="64" t="n"/>
      <c r="S5" s="37" t="n"/>
    </row>
    <row r="6">
      <c r="A6" s="9" t="n"/>
      <c r="B6" s="53" t="inlineStr">
        <is>
          <t>Dujac Echezeaux 2019 1/750ml</t>
        </is>
      </c>
      <c r="C6" s="47" t="n"/>
      <c r="D6" s="47" t="inlineStr">
        <is>
          <t>S58672</t>
        </is>
      </c>
      <c r="E6" s="53" t="n">
        <v>1</v>
      </c>
      <c r="F6" s="9" t="n">
        <v>1</v>
      </c>
      <c r="G6" s="60" t="n">
        <v>1044.75</v>
      </c>
      <c r="H6" s="61" t="n">
        <v>1145</v>
      </c>
      <c r="I6" s="9" t="inlineStr">
        <is>
          <t>Cafe Monarch</t>
        </is>
      </c>
      <c r="J6" s="62" t="n"/>
      <c r="K6" s="60" t="n">
        <v>1044.75</v>
      </c>
      <c r="L6" s="60" t="n">
        <v>1044.75</v>
      </c>
      <c r="M6" s="13" t="n"/>
      <c r="N6" s="61" t="n">
        <v>1145</v>
      </c>
      <c r="O6" s="63" t="n"/>
      <c r="P6" s="64" t="n"/>
      <c r="Q6" s="61" t="n"/>
      <c r="R6" s="64" t="n"/>
      <c r="S6" s="37" t="n"/>
    </row>
    <row r="7">
      <c r="A7" s="9" t="n"/>
      <c r="B7" s="53" t="inlineStr">
        <is>
          <t>Ramonet Batard Montrachet 2017 1/750ml</t>
        </is>
      </c>
      <c r="C7" s="47" t="n"/>
      <c r="D7" s="47" t="inlineStr">
        <is>
          <t>S58672</t>
        </is>
      </c>
      <c r="E7" s="53" t="n">
        <v>1</v>
      </c>
      <c r="F7" s="9" t="n">
        <v>1</v>
      </c>
      <c r="G7" s="60" t="n">
        <v>1254.75</v>
      </c>
      <c r="H7" s="61" t="n">
        <v>1375</v>
      </c>
      <c r="I7" s="9" t="inlineStr">
        <is>
          <t>Cafe Monarch</t>
        </is>
      </c>
      <c r="J7" s="62" t="n"/>
      <c r="K7" s="60" t="n">
        <v>1254.75</v>
      </c>
      <c r="L7" s="60" t="n">
        <v>1254.75</v>
      </c>
      <c r="M7" s="13" t="n"/>
      <c r="N7" s="61" t="n">
        <v>1375</v>
      </c>
      <c r="O7" s="63" t="n"/>
      <c r="P7" s="64" t="n"/>
      <c r="Q7" s="61" t="n"/>
      <c r="R7" s="64" t="n"/>
      <c r="S7" s="37" t="n"/>
    </row>
    <row r="8">
      <c r="A8" s="9" t="n"/>
      <c r="B8" s="53" t="inlineStr">
        <is>
          <t>Giacomo Conterno Barolo Riserva Monfortino 2004 1/750ml</t>
        </is>
      </c>
      <c r="C8" s="47" t="n"/>
      <c r="D8" s="47" t="inlineStr">
        <is>
          <t>S58672</t>
        </is>
      </c>
      <c r="E8" s="53" t="n">
        <v>1</v>
      </c>
      <c r="F8" s="9" t="n">
        <v>1</v>
      </c>
      <c r="G8" s="60" t="n">
        <v>1312.5</v>
      </c>
      <c r="H8" s="61" t="n">
        <v>1438</v>
      </c>
      <c r="I8" s="9" t="inlineStr">
        <is>
          <t>Cafe Monarch</t>
        </is>
      </c>
      <c r="J8" s="62" t="n"/>
      <c r="K8" s="60" t="n">
        <v>1312.5</v>
      </c>
      <c r="L8" s="60" t="n">
        <v>1312.5</v>
      </c>
      <c r="M8" s="13" t="n"/>
      <c r="N8" s="61" t="n">
        <v>1438</v>
      </c>
      <c r="O8" s="63" t="n"/>
      <c r="P8" s="64" t="n"/>
      <c r="Q8" s="61" t="n"/>
      <c r="R8" s="64" t="n"/>
      <c r="S8" s="37" t="n"/>
    </row>
    <row r="9">
      <c r="A9" s="9" t="n"/>
      <c r="B9" s="53" t="inlineStr">
        <is>
          <t>MacDonald Vinyards To-Kalon Cabernet 2022 3/750ml</t>
        </is>
      </c>
      <c r="C9" s="47" t="n"/>
      <c r="D9" s="47" t="inlineStr">
        <is>
          <t>S58672</t>
        </is>
      </c>
      <c r="E9" s="53" t="n">
        <v>3</v>
      </c>
      <c r="F9" s="9" t="n">
        <v>3</v>
      </c>
      <c r="G9" s="60" t="n">
        <v>733.25</v>
      </c>
      <c r="H9" s="61" t="n">
        <v>804</v>
      </c>
      <c r="I9" s="9" t="inlineStr">
        <is>
          <t>Cafe Monarch</t>
        </is>
      </c>
      <c r="J9" s="62" t="n"/>
      <c r="K9" s="60" t="n">
        <v>2199.75</v>
      </c>
      <c r="L9" s="60" t="n">
        <v>2199.75</v>
      </c>
      <c r="M9" s="13" t="n"/>
      <c r="N9" s="61" t="n">
        <v>2412</v>
      </c>
      <c r="O9" s="63" t="n"/>
      <c r="P9" s="64" t="n"/>
      <c r="Q9" s="61" t="n"/>
      <c r="R9" s="64" t="n"/>
      <c r="S9" s="37" t="n"/>
    </row>
    <row r="10">
      <c r="A10" s="9" t="n"/>
      <c r="B10" s="53" t="n"/>
      <c r="C10" s="47" t="n"/>
      <c r="D10" s="47" t="n"/>
      <c r="E10" s="53" t="n"/>
      <c r="F10" s="9" t="n"/>
      <c r="G10" s="60" t="n"/>
      <c r="H10" s="61" t="n"/>
      <c r="I10" s="9" t="n"/>
      <c r="J10" s="62" t="n"/>
      <c r="K10" s="60" t="n"/>
      <c r="L10" s="60" t="n"/>
      <c r="M10" s="13" t="n"/>
      <c r="N10" s="61" t="n"/>
      <c r="O10" s="63" t="n"/>
      <c r="P10" s="64" t="n"/>
      <c r="Q10" s="61" t="n"/>
      <c r="R10" s="64" t="n"/>
      <c r="S10" s="37" t="n"/>
    </row>
    <row r="11">
      <c r="A11" s="9" t="n"/>
      <c r="B11" s="53" t="n"/>
      <c r="C11" s="47" t="n"/>
      <c r="D11" s="47" t="n"/>
      <c r="E11" s="53" t="n"/>
      <c r="F11" s="9" t="n"/>
      <c r="G11" s="60" t="n"/>
      <c r="H11" s="61" t="n"/>
      <c r="I11" s="9" t="n"/>
      <c r="J11" s="62" t="n"/>
      <c r="K11" s="60" t="n"/>
      <c r="L11" s="60" t="n"/>
      <c r="M11" s="13" t="n"/>
      <c r="N11" s="61" t="n"/>
      <c r="O11" s="63" t="n"/>
      <c r="P11" s="64" t="n"/>
      <c r="Q11" s="61" t="n"/>
      <c r="R11" s="64" t="n"/>
      <c r="S11" s="37" t="n"/>
    </row>
    <row r="12" customFormat="1" s="43">
      <c r="A12" s="15" t="n"/>
      <c r="B12" s="10" t="n"/>
      <c r="C12" s="38" t="n"/>
      <c r="D12" s="15" t="n"/>
      <c r="E12" s="15" t="n"/>
      <c r="F12" s="39" t="n"/>
      <c r="G12" s="65" t="n"/>
      <c r="H12" s="66" t="n"/>
      <c r="I12" s="15" t="n"/>
      <c r="J12" s="58" t="n"/>
      <c r="K12" s="65" t="n"/>
      <c r="L12" s="67" t="n"/>
      <c r="M12" s="66" t="n"/>
      <c r="N12" s="67" t="n"/>
      <c r="O12" s="67" t="n"/>
      <c r="P12" s="67" t="n"/>
      <c r="Q12" s="67" t="n"/>
      <c r="R12" s="67" t="n"/>
      <c r="S12" s="42" t="n"/>
    </row>
    <row r="13">
      <c r="G13" s="3" t="n"/>
      <c r="I13" s="68" t="n"/>
      <c r="J13" s="50" t="n"/>
      <c r="N13" s="69" t="n"/>
      <c r="O13" s="55" t="n"/>
      <c r="P13" s="68" t="n"/>
      <c r="R13" s="64" t="n"/>
      <c r="S13" s="9" t="n"/>
    </row>
    <row r="14">
      <c r="G14" s="70" t="n"/>
      <c r="I14" s="68" t="n"/>
      <c r="J14" s="71" t="n"/>
      <c r="N14" s="69" t="n"/>
      <c r="O14" s="55" t="n"/>
      <c r="P14" s="68" t="n"/>
    </row>
    <row r="15">
      <c r="G15" s="70" t="n"/>
      <c r="I15" s="68" t="n"/>
      <c r="J15" s="71" t="n"/>
      <c r="N15" s="69" t="n"/>
      <c r="O15" s="55" t="n"/>
      <c r="P15" s="68" t="n"/>
    </row>
    <row r="16">
      <c r="G16" s="70" t="n"/>
      <c r="I16" s="68" t="n"/>
      <c r="J16" s="71" t="n"/>
      <c r="N16" s="69" t="n"/>
      <c r="O16" s="55" t="n"/>
      <c r="P16" s="68" t="n"/>
    </row>
    <row r="17">
      <c r="G17" s="70" t="n"/>
      <c r="I17" s="68" t="n"/>
      <c r="J17" s="71" t="n"/>
      <c r="N17" s="69" t="n"/>
      <c r="O17" s="55" t="n"/>
      <c r="P17" s="68" t="n"/>
    </row>
    <row r="18">
      <c r="G18" s="70" t="n"/>
      <c r="I18" s="68" t="n"/>
      <c r="J18" s="71" t="n"/>
      <c r="N18" s="69" t="n"/>
      <c r="O18" s="55" t="n"/>
      <c r="P18" s="68" t="n"/>
    </row>
    <row r="19">
      <c r="G19" s="70" t="n"/>
      <c r="I19" s="68" t="n"/>
      <c r="J19" s="71" t="n"/>
      <c r="N19" s="69" t="n"/>
      <c r="O19" s="55" t="n"/>
      <c r="P19" s="68" t="n"/>
    </row>
    <row r="20">
      <c r="G20" s="70" t="n"/>
      <c r="I20" s="68" t="n"/>
      <c r="J20" s="71" t="n"/>
      <c r="N20" s="69" t="n"/>
      <c r="O20" s="55" t="n"/>
      <c r="P20" s="68" t="n"/>
    </row>
    <row r="21">
      <c r="G21" s="70" t="n"/>
      <c r="I21" s="68" t="n"/>
      <c r="J21" s="71" t="n"/>
      <c r="N21" s="69" t="n"/>
      <c r="O21" s="55" t="n"/>
      <c r="P21" s="68" t="n"/>
    </row>
    <row r="22">
      <c r="G22" s="70" t="n"/>
      <c r="I22" s="68" t="n"/>
      <c r="J22" s="71" t="n"/>
      <c r="N22" s="69" t="n"/>
      <c r="O22" s="55" t="n"/>
      <c r="P22" s="68" t="n"/>
    </row>
    <row r="23">
      <c r="G23" s="70" t="n"/>
      <c r="I23" s="68" t="n"/>
      <c r="J23" s="71" t="n"/>
      <c r="N23" s="69" t="n"/>
      <c r="O23" s="55" t="n"/>
      <c r="P23" s="68" t="n"/>
    </row>
    <row r="24">
      <c r="G24" s="70" t="n"/>
      <c r="I24" s="68" t="n"/>
      <c r="J24" s="71" t="n"/>
      <c r="N24" s="69" t="n"/>
      <c r="O24" s="55" t="n"/>
      <c r="P24" s="68" t="n"/>
    </row>
    <row r="25">
      <c r="G25" s="70" t="n"/>
      <c r="I25" s="68" t="n"/>
      <c r="J25" s="71" t="n"/>
      <c r="N25" s="69" t="n"/>
      <c r="O25" s="55" t="n"/>
      <c r="P25" s="68" t="n"/>
    </row>
    <row r="26">
      <c r="G26" s="70" t="n"/>
      <c r="I26" s="68" t="n"/>
      <c r="J26" s="71" t="n"/>
      <c r="N26" s="69" t="n"/>
      <c r="O26" s="55" t="n"/>
      <c r="P26" s="68" t="n"/>
    </row>
    <row r="27">
      <c r="G27" s="70" t="n"/>
      <c r="I27" s="68" t="n"/>
      <c r="J27" s="71" t="n"/>
      <c r="N27" s="69" t="n"/>
      <c r="O27" s="55" t="n"/>
      <c r="P27" s="68" t="n"/>
    </row>
    <row r="28">
      <c r="G28" s="70" t="n"/>
      <c r="I28" s="68" t="n"/>
      <c r="J28" s="71" t="n"/>
      <c r="N28" s="69" t="n"/>
      <c r="O28" s="55" t="n"/>
      <c r="P28" s="68" t="n"/>
    </row>
    <row r="29">
      <c r="G29" s="70" t="n"/>
      <c r="I29" s="68" t="n"/>
      <c r="J29" s="71" t="n"/>
      <c r="N29" s="69" t="n"/>
      <c r="O29" s="55" t="n"/>
      <c r="P29" s="68" t="n"/>
    </row>
    <row r="30">
      <c r="G30" s="70" t="n"/>
      <c r="I30" s="68" t="n"/>
      <c r="J30" s="71" t="n"/>
      <c r="N30" s="69" t="n"/>
      <c r="O30" s="55" t="n"/>
      <c r="P30" s="68" t="n"/>
    </row>
    <row r="31">
      <c r="G31" s="70" t="n"/>
      <c r="I31" s="68" t="n"/>
      <c r="J31" s="71" t="n"/>
      <c r="N31" s="69" t="n"/>
      <c r="O31" s="55" t="n"/>
      <c r="P31" s="68" t="n"/>
    </row>
    <row r="32">
      <c r="G32" s="70" t="n"/>
      <c r="I32" s="68" t="n"/>
      <c r="J32" s="71" t="n"/>
      <c r="N32" s="69" t="n"/>
      <c r="O32" s="55" t="n"/>
      <c r="P32" s="68" t="n"/>
    </row>
    <row r="33">
      <c r="G33" s="70" t="n"/>
      <c r="I33" s="68" t="n"/>
      <c r="J33" s="71" t="n"/>
      <c r="N33" s="69" t="n"/>
      <c r="O33" s="55" t="n"/>
      <c r="P33" s="68" t="n"/>
    </row>
    <row r="34">
      <c r="G34" s="70" t="n"/>
      <c r="I34" s="68" t="n"/>
      <c r="J34" s="71" t="n"/>
      <c r="N34" s="69" t="n"/>
      <c r="O34" s="55" t="n"/>
      <c r="P34" s="68" t="n"/>
    </row>
    <row r="35">
      <c r="G35" s="70" t="n"/>
      <c r="I35" s="68" t="n"/>
      <c r="J35" s="71" t="n"/>
      <c r="N35" s="69" t="n"/>
      <c r="O35" s="55" t="n"/>
      <c r="P35" s="68" t="n"/>
    </row>
    <row r="36">
      <c r="G36" s="70" t="n"/>
      <c r="I36" s="68" t="n"/>
      <c r="J36" s="71" t="n"/>
      <c r="N36" s="69" t="n"/>
      <c r="O36" s="55" t="n"/>
      <c r="P36" s="68" t="n"/>
    </row>
    <row r="37">
      <c r="G37" s="70" t="n"/>
      <c r="I37" s="68" t="n"/>
      <c r="J37" s="71" t="n"/>
      <c r="N37" s="69" t="n"/>
      <c r="O37" s="55" t="n"/>
      <c r="P37" s="68" t="n"/>
    </row>
    <row r="38">
      <c r="G38" s="70" t="n"/>
      <c r="I38" s="68" t="n"/>
      <c r="J38" s="71" t="n"/>
      <c r="N38" s="69" t="n"/>
      <c r="O38" s="55" t="n"/>
      <c r="P38" s="68" t="n"/>
    </row>
    <row r="39">
      <c r="G39" s="70" t="n"/>
      <c r="I39" s="68" t="n"/>
      <c r="J39" s="71" t="n"/>
      <c r="N39" s="69" t="n"/>
      <c r="O39" s="55" t="n"/>
      <c r="P39" s="68" t="n"/>
    </row>
    <row r="40">
      <c r="G40" s="70" t="n"/>
      <c r="I40" s="68" t="n"/>
      <c r="J40" s="71" t="n"/>
      <c r="N40" s="69" t="n"/>
      <c r="O40" s="55" t="n"/>
      <c r="P40" s="68" t="n"/>
    </row>
    <row r="41">
      <c r="G41" s="70" t="n"/>
      <c r="I41" s="68" t="n"/>
      <c r="J41" s="71" t="n"/>
      <c r="N41" s="69" t="n"/>
      <c r="O41" s="55" t="n"/>
      <c r="P41" s="68" t="n"/>
    </row>
    <row r="42">
      <c r="G42" s="70" t="n"/>
      <c r="I42" s="68" t="n"/>
      <c r="J42" s="71" t="n"/>
      <c r="N42" s="69" t="n"/>
      <c r="O42" s="55" t="n"/>
      <c r="P42" s="68" t="n"/>
    </row>
    <row r="43">
      <c r="G43" s="70" t="n"/>
      <c r="I43" s="68" t="n"/>
      <c r="J43" s="71" t="n"/>
      <c r="N43" s="69" t="n"/>
      <c r="O43" s="55" t="n"/>
      <c r="P43" s="68" t="n"/>
    </row>
    <row r="44">
      <c r="G44" s="70" t="n"/>
      <c r="I44" s="68" t="n"/>
      <c r="J44" s="71" t="n"/>
      <c r="N44" s="69" t="n"/>
      <c r="O44" s="55" t="n"/>
      <c r="P44" s="68" t="n"/>
    </row>
    <row r="45">
      <c r="G45" s="70" t="n"/>
      <c r="I45" s="68" t="n"/>
      <c r="J45" s="71" t="n"/>
      <c r="N45" s="69" t="n"/>
      <c r="O45" s="55" t="n"/>
      <c r="P45" s="68" t="n"/>
    </row>
    <row r="46">
      <c r="G46" s="70" t="n"/>
      <c r="I46" s="68" t="n"/>
      <c r="J46" s="71" t="n"/>
      <c r="N46" s="69" t="n"/>
      <c r="O46" s="55" t="n"/>
      <c r="P46" s="68" t="n"/>
    </row>
    <row r="47">
      <c r="G47" s="70" t="n"/>
      <c r="I47" s="68" t="n"/>
      <c r="J47" s="71" t="n"/>
      <c r="N47" s="69" t="n"/>
      <c r="O47" s="55" t="n"/>
      <c r="P47" s="68" t="n"/>
    </row>
    <row r="48">
      <c r="G48" s="70" t="n"/>
      <c r="I48" s="68" t="n"/>
      <c r="J48" s="71" t="n"/>
      <c r="N48" s="69" t="n"/>
      <c r="O48" s="55" t="n"/>
      <c r="P48" s="68" t="n"/>
    </row>
    <row r="49">
      <c r="G49" s="70" t="n"/>
      <c r="I49" s="68" t="n"/>
      <c r="J49" s="71" t="n"/>
      <c r="N49" s="69" t="n"/>
      <c r="O49" s="55" t="n"/>
      <c r="P49" s="68" t="n"/>
    </row>
    <row r="50">
      <c r="G50" s="70" t="n"/>
      <c r="I50" s="68" t="n"/>
      <c r="J50" s="71" t="n"/>
      <c r="N50" s="69" t="n"/>
      <c r="O50" s="55" t="n"/>
      <c r="P50" s="68" t="n"/>
    </row>
    <row r="51">
      <c r="G51" s="70" t="n"/>
      <c r="I51" s="68" t="n"/>
      <c r="J51" s="71" t="n"/>
      <c r="N51" s="69" t="n"/>
      <c r="O51" s="55" t="n"/>
      <c r="P51" s="68" t="n"/>
    </row>
    <row r="52">
      <c r="G52" s="70" t="n"/>
      <c r="I52" s="68" t="n"/>
      <c r="J52" s="71" t="n"/>
      <c r="N52" s="69" t="n"/>
      <c r="O52" s="55" t="n"/>
      <c r="P52" s="68" t="n"/>
    </row>
    <row r="53">
      <c r="G53" s="70" t="n"/>
      <c r="I53" s="68" t="n"/>
      <c r="J53" s="71" t="n"/>
      <c r="N53" s="69" t="n"/>
      <c r="O53" s="55" t="n"/>
      <c r="P53" s="68" t="n"/>
    </row>
    <row r="54">
      <c r="G54" s="70" t="n"/>
      <c r="I54" s="68" t="n"/>
      <c r="J54" s="71" t="n"/>
      <c r="N54" s="69" t="n"/>
      <c r="O54" s="55" t="n"/>
      <c r="P54" s="68" t="n"/>
    </row>
    <row r="55">
      <c r="G55" s="70" t="n"/>
      <c r="I55" s="68" t="n"/>
      <c r="J55" s="71" t="n"/>
      <c r="N55" s="69" t="n"/>
      <c r="O55" s="55" t="n"/>
      <c r="P55" s="68" t="n"/>
    </row>
    <row r="56">
      <c r="G56" s="70" t="n"/>
      <c r="I56" s="68" t="n"/>
      <c r="J56" s="71" t="n"/>
      <c r="N56" s="69" t="n"/>
      <c r="O56" s="55" t="n"/>
      <c r="P56" s="68" t="n"/>
    </row>
    <row r="57">
      <c r="G57" s="70" t="n"/>
      <c r="I57" s="68" t="n"/>
      <c r="J57" s="71" t="n"/>
      <c r="N57" s="69" t="n"/>
      <c r="O57" s="55" t="n"/>
      <c r="P57" s="68" t="n"/>
    </row>
    <row r="58">
      <c r="G58" s="70" t="n"/>
      <c r="I58" s="68" t="n"/>
      <c r="J58" s="71" t="n"/>
      <c r="N58" s="69" t="n"/>
      <c r="O58" s="55" t="n"/>
      <c r="P58" s="68" t="n"/>
    </row>
    <row r="59">
      <c r="G59" s="70" t="n"/>
      <c r="I59" s="68" t="n"/>
      <c r="J59" s="71" t="n"/>
      <c r="N59" s="69" t="n"/>
      <c r="O59" s="55" t="n"/>
      <c r="P59" s="68" t="n"/>
    </row>
    <row r="60">
      <c r="G60" s="70" t="n"/>
      <c r="I60" s="68" t="n"/>
      <c r="J60" s="71" t="n"/>
      <c r="N60" s="69" t="n"/>
      <c r="O60" s="55" t="n"/>
      <c r="P60" s="68" t="n"/>
    </row>
    <row r="61">
      <c r="G61" s="70" t="n"/>
      <c r="I61" s="68" t="n"/>
      <c r="J61" s="71" t="n"/>
      <c r="N61" s="69" t="n"/>
      <c r="O61" s="55" t="n"/>
      <c r="P61" s="68" t="n"/>
    </row>
    <row r="62">
      <c r="G62" s="70" t="n"/>
      <c r="I62" s="68" t="n"/>
      <c r="J62" s="71" t="n"/>
      <c r="N62" s="69" t="n"/>
      <c r="O62" s="55" t="n"/>
      <c r="P62" s="68" t="n"/>
    </row>
    <row r="63">
      <c r="G63" s="70" t="n"/>
      <c r="I63" s="68" t="n"/>
      <c r="J63" s="71" t="n"/>
      <c r="N63" s="69" t="n"/>
      <c r="O63" s="55" t="n"/>
      <c r="P63" s="68" t="n"/>
    </row>
    <row r="64">
      <c r="G64" s="70" t="n"/>
      <c r="I64" s="68" t="n"/>
      <c r="J64" s="71" t="n"/>
      <c r="N64" s="69" t="n"/>
      <c r="O64" s="55" t="n"/>
      <c r="P64" s="68" t="n"/>
    </row>
    <row r="65">
      <c r="G65" s="70" t="n"/>
      <c r="I65" s="68" t="n"/>
      <c r="J65" s="71" t="n"/>
      <c r="N65" s="69" t="n"/>
      <c r="O65" s="55" t="n"/>
      <c r="P65" s="68" t="n"/>
    </row>
    <row r="66">
      <c r="G66" s="70" t="n"/>
      <c r="I66" s="68" t="n"/>
      <c r="J66" s="71" t="n"/>
      <c r="N66" s="69" t="n"/>
      <c r="O66" s="55" t="n"/>
      <c r="P66" s="68" t="n"/>
    </row>
    <row r="67">
      <c r="G67" s="70" t="n"/>
      <c r="I67" s="68" t="n"/>
      <c r="J67" s="71" t="n"/>
      <c r="N67" s="69" t="n"/>
      <c r="O67" s="55" t="n"/>
      <c r="P67" s="68" t="n"/>
    </row>
    <row r="68">
      <c r="G68" s="70" t="n"/>
      <c r="I68" s="68" t="n"/>
      <c r="J68" s="71" t="n"/>
      <c r="N68" s="69" t="n"/>
      <c r="O68" s="55" t="n"/>
      <c r="P68" s="68" t="n"/>
    </row>
    <row r="69">
      <c r="G69" s="70" t="n"/>
      <c r="I69" s="68" t="n"/>
      <c r="J69" s="71" t="n"/>
      <c r="N69" s="69" t="n"/>
      <c r="O69" s="55" t="n"/>
      <c r="P69" s="68" t="n"/>
    </row>
    <row r="70">
      <c r="G70" s="70" t="n"/>
      <c r="I70" s="68" t="n"/>
      <c r="J70" s="71" t="n"/>
      <c r="N70" s="69" t="n"/>
      <c r="O70" s="55" t="n"/>
      <c r="P70" s="68" t="n"/>
    </row>
    <row r="71">
      <c r="G71" s="70" t="n"/>
      <c r="I71" s="68" t="n"/>
      <c r="J71" s="71" t="n"/>
      <c r="N71" s="69" t="n"/>
      <c r="O71" s="55" t="n"/>
      <c r="P71" s="68" t="n"/>
    </row>
    <row r="72">
      <c r="G72" s="70" t="n"/>
      <c r="I72" s="68" t="n"/>
      <c r="J72" s="71" t="n"/>
      <c r="N72" s="69" t="n"/>
      <c r="O72" s="55" t="n"/>
      <c r="P72" s="68" t="n"/>
    </row>
    <row r="73">
      <c r="G73" s="70" t="n"/>
      <c r="I73" s="68" t="n"/>
      <c r="J73" s="71" t="n"/>
      <c r="N73" s="69" t="n"/>
      <c r="O73" s="55" t="n"/>
      <c r="P73" s="68" t="n"/>
    </row>
    <row r="74">
      <c r="G74" s="70" t="n"/>
      <c r="I74" s="68" t="n"/>
      <c r="J74" s="71" t="n"/>
      <c r="N74" s="69" t="n"/>
      <c r="O74" s="55" t="n"/>
      <c r="P74" s="68" t="n"/>
    </row>
    <row r="75">
      <c r="G75" s="70" t="n"/>
      <c r="I75" s="68" t="n"/>
      <c r="J75" s="71" t="n"/>
      <c r="N75" s="69" t="n"/>
      <c r="O75" s="55" t="n"/>
      <c r="P75" s="68" t="n"/>
    </row>
    <row r="76">
      <c r="G76" s="70" t="n"/>
      <c r="I76" s="68" t="n"/>
      <c r="J76" s="71" t="n"/>
      <c r="N76" s="69" t="n"/>
      <c r="O76" s="55" t="n"/>
      <c r="P76" s="68" t="n"/>
    </row>
    <row r="77">
      <c r="G77" s="70" t="n"/>
      <c r="I77" s="68" t="n"/>
      <c r="J77" s="71" t="n"/>
      <c r="N77" s="69" t="n"/>
      <c r="O77" s="55" t="n"/>
      <c r="P77" s="68" t="n"/>
    </row>
    <row r="78">
      <c r="G78" s="70" t="n"/>
      <c r="I78" s="68" t="n"/>
      <c r="J78" s="71" t="n"/>
      <c r="N78" s="69" t="n"/>
      <c r="O78" s="55" t="n"/>
      <c r="P78" s="68" t="n"/>
    </row>
    <row r="79">
      <c r="G79" s="70" t="n"/>
      <c r="I79" s="68" t="n"/>
      <c r="J79" s="71" t="n"/>
      <c r="N79" s="69" t="n"/>
      <c r="O79" s="55" t="n"/>
      <c r="P79" s="68" t="n"/>
    </row>
    <row r="80">
      <c r="G80" s="70" t="n"/>
      <c r="I80" s="68" t="n"/>
      <c r="J80" s="71" t="n"/>
      <c r="N80" s="69" t="n"/>
      <c r="O80" s="55" t="n"/>
      <c r="P80" s="68" t="n"/>
    </row>
    <row r="81">
      <c r="G81" s="70" t="n"/>
      <c r="I81" s="68" t="n"/>
      <c r="J81" s="71" t="n"/>
      <c r="N81" s="69" t="n"/>
      <c r="O81" s="55" t="n"/>
      <c r="P81" s="68" t="n"/>
    </row>
    <row r="82">
      <c r="G82" s="70" t="n"/>
      <c r="I82" s="68" t="n"/>
      <c r="J82" s="71" t="n"/>
      <c r="N82" s="69" t="n"/>
      <c r="O82" s="55" t="n"/>
      <c r="P82" s="68" t="n"/>
    </row>
    <row r="83">
      <c r="G83" s="70" t="n"/>
      <c r="I83" s="68" t="n"/>
      <c r="J83" s="71" t="n"/>
      <c r="N83" s="69" t="n"/>
      <c r="O83" s="55" t="n"/>
      <c r="P83" s="68" t="n"/>
    </row>
    <row r="84">
      <c r="G84" s="70" t="n"/>
      <c r="I84" s="68" t="n"/>
      <c r="J84" s="71" t="n"/>
      <c r="N84" s="69" t="n"/>
      <c r="O84" s="55" t="n"/>
      <c r="P84" s="68" t="n"/>
    </row>
    <row r="85">
      <c r="G85" s="70" t="n"/>
      <c r="I85" s="68" t="n"/>
      <c r="J85" s="71" t="n"/>
      <c r="N85" s="69" t="n"/>
      <c r="O85" s="55" t="n"/>
      <c r="P85" s="68" t="n"/>
    </row>
    <row r="86">
      <c r="G86" s="70" t="n"/>
      <c r="I86" s="68" t="n"/>
      <c r="J86" s="71" t="n"/>
      <c r="N86" s="69" t="n"/>
      <c r="O86" s="55" t="n"/>
      <c r="P86" s="68" t="n"/>
    </row>
    <row r="87">
      <c r="G87" s="70" t="n"/>
      <c r="I87" s="68" t="n"/>
      <c r="J87" s="71" t="n"/>
      <c r="N87" s="69" t="n"/>
      <c r="O87" s="55" t="n"/>
      <c r="P87" s="68" t="n"/>
    </row>
    <row r="88">
      <c r="G88" s="70" t="n"/>
      <c r="I88" s="68" t="n"/>
      <c r="J88" s="71" t="n"/>
      <c r="N88" s="69" t="n"/>
      <c r="O88" s="55" t="n"/>
      <c r="P88" s="68" t="n"/>
    </row>
    <row r="89">
      <c r="G89" s="70" t="n"/>
      <c r="I89" s="68" t="n"/>
      <c r="J89" s="71" t="n"/>
      <c r="N89" s="69" t="n"/>
      <c r="O89" s="55" t="n"/>
      <c r="P89" s="68" t="n"/>
    </row>
    <row r="90">
      <c r="G90" s="70" t="n"/>
      <c r="I90" s="68" t="n"/>
      <c r="J90" s="71" t="n"/>
      <c r="N90" s="69" t="n"/>
      <c r="O90" s="55" t="n"/>
      <c r="P90" s="68" t="n"/>
    </row>
    <row r="91">
      <c r="G91" s="70" t="n"/>
      <c r="I91" s="68" t="n"/>
      <c r="J91" s="71" t="n"/>
      <c r="N91" s="69" t="n"/>
      <c r="O91" s="55" t="n"/>
      <c r="P91" s="68" t="n"/>
    </row>
    <row r="92">
      <c r="G92" s="70" t="n"/>
      <c r="I92" s="68" t="n"/>
      <c r="J92" s="71" t="n"/>
      <c r="N92" s="69" t="n"/>
      <c r="O92" s="55" t="n"/>
      <c r="P92" s="68" t="n"/>
    </row>
    <row r="93">
      <c r="G93" s="70" t="n"/>
      <c r="I93" s="68" t="n"/>
      <c r="J93" s="71" t="n"/>
      <c r="N93" s="69" t="n"/>
      <c r="O93" s="55" t="n"/>
      <c r="P93" s="68" t="n"/>
    </row>
    <row r="94">
      <c r="G94" s="70" t="n"/>
      <c r="I94" s="68" t="n"/>
      <c r="J94" s="71" t="n"/>
      <c r="N94" s="69" t="n"/>
      <c r="O94" s="55" t="n"/>
      <c r="P94" s="68" t="n"/>
    </row>
    <row r="95">
      <c r="G95" s="70" t="n"/>
      <c r="I95" s="68" t="n"/>
      <c r="J95" s="71" t="n"/>
      <c r="N95" s="69" t="n"/>
      <c r="O95" s="55" t="n"/>
      <c r="P95" s="68" t="n"/>
    </row>
    <row r="96">
      <c r="G96" s="70" t="n"/>
      <c r="I96" s="68" t="n"/>
      <c r="J96" s="71" t="n"/>
      <c r="N96" s="69" t="n"/>
      <c r="O96" s="55" t="n"/>
      <c r="P96" s="68" t="n"/>
    </row>
    <row r="97">
      <c r="G97" s="70" t="n"/>
      <c r="I97" s="68" t="n"/>
      <c r="J97" s="71" t="n"/>
      <c r="N97" s="69" t="n"/>
      <c r="O97" s="55" t="n"/>
      <c r="P97" s="68" t="n"/>
    </row>
    <row r="98">
      <c r="G98" s="70" t="n"/>
      <c r="I98" s="68" t="n"/>
      <c r="J98" s="71" t="n"/>
      <c r="N98" s="69" t="n"/>
      <c r="O98" s="55" t="n"/>
      <c r="P98" s="68" t="n"/>
    </row>
    <row r="99">
      <c r="G99" s="70" t="n"/>
      <c r="I99" s="68" t="n"/>
      <c r="J99" s="71" t="n"/>
      <c r="N99" s="69" t="n"/>
      <c r="O99" s="55" t="n"/>
      <c r="P99" s="68" t="n"/>
    </row>
    <row r="100">
      <c r="G100" s="70" t="n"/>
      <c r="I100" s="68" t="n"/>
      <c r="J100" s="71" t="n"/>
      <c r="N100" s="69" t="n"/>
      <c r="O100" s="55" t="n"/>
      <c r="P100" s="68" t="n"/>
    </row>
    <row r="101">
      <c r="G101" s="70" t="n"/>
      <c r="I101" s="68" t="n"/>
      <c r="J101" s="71" t="n"/>
      <c r="N101" s="69" t="n"/>
      <c r="O101" s="55" t="n"/>
      <c r="P101" s="68" t="n"/>
    </row>
    <row r="102">
      <c r="G102" s="70" t="n"/>
      <c r="I102" s="68" t="n"/>
      <c r="J102" s="71" t="n"/>
      <c r="N102" s="69" t="n"/>
      <c r="O102" s="55" t="n"/>
      <c r="P102" s="68" t="n"/>
    </row>
    <row r="103">
      <c r="G103" s="70" t="n"/>
      <c r="I103" s="68" t="n"/>
      <c r="J103" s="71" t="n"/>
      <c r="N103" s="69" t="n"/>
      <c r="O103" s="55" t="n"/>
      <c r="P103" s="68" t="n"/>
    </row>
    <row r="104">
      <c r="G104" s="70" t="n"/>
      <c r="I104" s="68" t="n"/>
      <c r="J104" s="71" t="n"/>
      <c r="N104" s="69" t="n"/>
      <c r="P104" s="68" t="n"/>
    </row>
    <row r="105">
      <c r="G105" s="70" t="n"/>
      <c r="I105" s="68" t="n"/>
      <c r="J105" s="71" t="n"/>
      <c r="N105" s="69" t="n"/>
      <c r="P105" s="68" t="n"/>
    </row>
    <row r="106">
      <c r="G106" s="70" t="n"/>
      <c r="I106" s="68" t="n"/>
      <c r="J106" s="71" t="n"/>
      <c r="N106" s="69" t="n"/>
      <c r="P106" s="68" t="n"/>
    </row>
    <row r="107">
      <c r="G107" s="70" t="n"/>
      <c r="I107" s="68" t="n"/>
      <c r="J107" s="71" t="n"/>
      <c r="N107" s="69" t="n"/>
      <c r="P107" s="68" t="n"/>
    </row>
    <row r="108">
      <c r="G108" s="70" t="n"/>
      <c r="I108" s="68" t="n"/>
      <c r="J108" s="71" t="n"/>
      <c r="N108" s="69" t="n"/>
      <c r="P108" s="68" t="n"/>
    </row>
    <row r="109">
      <c r="G109" s="70" t="n"/>
      <c r="I109" s="68" t="n"/>
      <c r="J109" s="71" t="n"/>
      <c r="N109" s="69" t="n"/>
      <c r="P109" s="68" t="n"/>
    </row>
    <row r="110">
      <c r="G110" s="70" t="n"/>
      <c r="I110" s="68" t="n"/>
      <c r="J110" s="71" t="n"/>
      <c r="N110" s="69" t="n"/>
      <c r="P110" s="68" t="n"/>
    </row>
    <row r="111">
      <c r="G111" s="70" t="n"/>
      <c r="I111" s="68" t="n"/>
      <c r="J111" s="71" t="n"/>
      <c r="N111" s="69" t="n"/>
      <c r="P111" s="68" t="n"/>
    </row>
    <row r="112">
      <c r="G112" s="70" t="n"/>
      <c r="I112" s="68" t="n"/>
      <c r="J112" s="71" t="n"/>
      <c r="N112" s="69" t="n"/>
      <c r="P112" s="68" t="n"/>
    </row>
    <row r="113">
      <c r="G113" s="70" t="n"/>
      <c r="I113" s="68" t="n"/>
      <c r="J113" s="71" t="n"/>
      <c r="N113" s="69" t="n"/>
      <c r="P113" s="68" t="n"/>
    </row>
    <row r="114">
      <c r="G114" s="70" t="n"/>
      <c r="I114" s="68" t="n"/>
      <c r="J114" s="71" t="n"/>
      <c r="N114" s="69" t="n"/>
      <c r="P114" s="68" t="n"/>
    </row>
    <row r="115">
      <c r="G115" s="70" t="n"/>
      <c r="I115" s="68" t="n"/>
      <c r="J115" s="71" t="n"/>
      <c r="N115" s="69" t="n"/>
      <c r="P115" s="68" t="n"/>
    </row>
    <row r="116">
      <c r="G116" s="70" t="n"/>
      <c r="I116" s="68" t="n"/>
      <c r="J116" s="71" t="n"/>
      <c r="N116" s="69" t="n"/>
      <c r="P116" s="68" t="n"/>
    </row>
    <row r="117">
      <c r="G117" s="70" t="n"/>
      <c r="I117" s="68" t="n"/>
      <c r="J117" s="71" t="n"/>
      <c r="N117" s="69" t="n"/>
      <c r="P117" s="68" t="n"/>
    </row>
    <row r="118">
      <c r="G118" s="70" t="n"/>
      <c r="I118" s="68" t="n"/>
      <c r="J118" s="71" t="n"/>
      <c r="N118" s="69" t="n"/>
      <c r="P118" s="68" t="n"/>
    </row>
    <row r="119">
      <c r="G119" s="70" t="n"/>
      <c r="I119" s="68" t="n"/>
      <c r="J119" s="71" t="n"/>
      <c r="N119" s="69" t="n"/>
      <c r="P119" s="68" t="n"/>
    </row>
    <row r="120">
      <c r="G120" s="70" t="n"/>
      <c r="I120" s="68" t="n"/>
      <c r="J120" s="71" t="n"/>
      <c r="N120" s="69" t="n"/>
      <c r="P120" s="68" t="n"/>
    </row>
    <row r="121">
      <c r="G121" s="70" t="n"/>
      <c r="I121" s="68" t="n"/>
      <c r="J121" s="71" t="n"/>
      <c r="N121" s="69" t="n"/>
      <c r="P121" s="68" t="n"/>
    </row>
    <row r="122">
      <c r="G122" s="70" t="n"/>
      <c r="I122" s="68" t="n"/>
      <c r="J122" s="71" t="n"/>
      <c r="N122" s="69" t="n"/>
      <c r="P122" s="68" t="n"/>
    </row>
    <row r="123">
      <c r="G123" s="70" t="n"/>
      <c r="I123" s="68" t="n"/>
      <c r="J123" s="71" t="n"/>
      <c r="N123" s="69" t="n"/>
      <c r="P123" s="68" t="n"/>
    </row>
    <row r="124">
      <c r="G124" s="70" t="n"/>
      <c r="I124" s="68" t="n"/>
      <c r="J124" s="71" t="n"/>
      <c r="N124" s="69" t="n"/>
      <c r="P124" s="68" t="n"/>
    </row>
    <row r="125">
      <c r="G125" s="70" t="n"/>
      <c r="I125" s="68" t="n"/>
      <c r="J125" s="71" t="n"/>
      <c r="N125" s="69" t="n"/>
      <c r="P125" s="68" t="n"/>
    </row>
    <row r="126">
      <c r="G126" s="70" t="n"/>
      <c r="I126" s="68" t="n"/>
      <c r="J126" s="71" t="n"/>
      <c r="N126" s="69" t="n"/>
      <c r="P126" s="68" t="n"/>
    </row>
    <row r="127">
      <c r="G127" s="70" t="n"/>
      <c r="I127" s="68" t="n"/>
      <c r="J127" s="71" t="n"/>
      <c r="N127" s="69" t="n"/>
      <c r="P127" s="68" t="n"/>
    </row>
    <row r="128">
      <c r="G128" s="70" t="n"/>
      <c r="I128" s="68" t="n"/>
      <c r="J128" s="71" t="n"/>
      <c r="N128" s="69" t="n"/>
      <c r="P128" s="68" t="n"/>
    </row>
    <row r="129">
      <c r="G129" s="70" t="n"/>
      <c r="I129" s="68" t="n"/>
      <c r="J129" s="71" t="n"/>
      <c r="N129" s="69" t="n"/>
      <c r="P129" s="68" t="n"/>
    </row>
    <row r="130">
      <c r="G130" s="70" t="n"/>
      <c r="I130" s="68" t="n"/>
      <c r="J130" s="71" t="n"/>
      <c r="N130" s="69" t="n"/>
      <c r="P130" s="68" t="n"/>
    </row>
    <row r="131">
      <c r="G131" s="70" t="n"/>
      <c r="I131" s="68" t="n"/>
      <c r="J131" s="71" t="n"/>
      <c r="N131" s="69" t="n"/>
      <c r="P131" s="68" t="n"/>
    </row>
    <row r="132">
      <c r="G132" s="70" t="n"/>
      <c r="I132" s="68" t="n"/>
      <c r="J132" s="71" t="n"/>
      <c r="N132" s="69" t="n"/>
      <c r="P132" s="68" t="n"/>
    </row>
    <row r="133">
      <c r="G133" s="70" t="n"/>
      <c r="I133" s="68" t="n"/>
      <c r="J133" s="71" t="n"/>
      <c r="N133" s="69" t="n"/>
      <c r="P133" s="68" t="n"/>
    </row>
    <row r="134">
      <c r="G134" s="70" t="n"/>
      <c r="I134" s="68" t="n"/>
      <c r="J134" s="71" t="n"/>
      <c r="N134" s="69" t="n"/>
      <c r="P134" s="68" t="n"/>
    </row>
    <row r="135">
      <c r="G135" s="70" t="n"/>
      <c r="I135" s="68" t="n"/>
      <c r="J135" s="71" t="n"/>
      <c r="N135" s="69" t="n"/>
      <c r="P135" s="68" t="n"/>
    </row>
    <row r="136">
      <c r="G136" s="70" t="n"/>
      <c r="I136" s="68" t="n"/>
      <c r="J136" s="71" t="n"/>
      <c r="N136" s="69" t="n"/>
      <c r="P136" s="68" t="n"/>
    </row>
    <row r="137">
      <c r="G137" s="70" t="n"/>
      <c r="I137" s="68" t="n"/>
      <c r="J137" s="71" t="n"/>
      <c r="N137" s="69" t="n"/>
      <c r="P137" s="68" t="n"/>
    </row>
    <row r="138">
      <c r="G138" s="70" t="n"/>
      <c r="I138" s="68" t="n"/>
      <c r="J138" s="71" t="n"/>
      <c r="N138" s="69" t="n"/>
      <c r="P138" s="68" t="n"/>
    </row>
    <row r="139">
      <c r="G139" s="70" t="n"/>
      <c r="I139" s="68" t="n"/>
      <c r="J139" s="71" t="n"/>
      <c r="N139" s="69" t="n"/>
      <c r="P139" s="68" t="n"/>
    </row>
    <row r="140">
      <c r="G140" s="70" t="n"/>
      <c r="I140" s="68" t="n"/>
      <c r="J140" s="71" t="n"/>
      <c r="N140" s="69" t="n"/>
      <c r="P140" s="68" t="n"/>
    </row>
    <row r="141">
      <c r="G141" s="70" t="n"/>
      <c r="I141" s="68" t="n"/>
      <c r="J141" s="71" t="n"/>
      <c r="N141" s="69" t="n"/>
      <c r="P141" s="68" t="n"/>
    </row>
    <row r="142">
      <c r="G142" s="70" t="n"/>
      <c r="I142" s="68" t="n"/>
      <c r="J142" s="71" t="n"/>
      <c r="N142" s="69" t="n"/>
      <c r="P142" s="68" t="n"/>
    </row>
    <row r="143">
      <c r="G143" s="70" t="n"/>
      <c r="I143" s="68" t="n"/>
      <c r="J143" s="71" t="n"/>
      <c r="N143" s="69" t="n"/>
      <c r="P143" s="68" t="n"/>
    </row>
    <row r="144">
      <c r="G144" s="70" t="n"/>
      <c r="I144" s="68" t="n"/>
      <c r="J144" s="71" t="n"/>
      <c r="N144" s="69" t="n"/>
    </row>
    <row r="145">
      <c r="G145" s="70" t="n"/>
      <c r="J145" s="71" t="n"/>
      <c r="N145" s="69" t="n"/>
    </row>
    <row r="146">
      <c r="G146" s="70" t="n"/>
      <c r="J146" s="71" t="n"/>
      <c r="N146" s="69" t="n"/>
    </row>
    <row r="147">
      <c r="G147" s="70" t="n"/>
      <c r="J147" s="71" t="n"/>
      <c r="N147" s="69" t="n"/>
    </row>
    <row r="148">
      <c r="G148" s="70" t="n"/>
      <c r="J148" s="71" t="n"/>
      <c r="N148" s="69" t="n"/>
    </row>
    <row r="149">
      <c r="G149" s="70" t="n"/>
      <c r="J149" s="71" t="n"/>
    </row>
    <row r="150">
      <c r="G150" s="70" t="n"/>
      <c r="J150" s="71" t="n"/>
    </row>
    <row r="151">
      <c r="G151" s="70" t="n"/>
      <c r="J151" s="7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selection activeCell="B11" sqref="B11:B12"/>
    </sheetView>
  </sheetViews>
  <sheetFormatPr baseColWidth="10" defaultColWidth="8.83203125" defaultRowHeight="15"/>
  <cols>
    <col width="8.83203125" bestFit="1" customWidth="1" style="3" min="1" max="1"/>
    <col width="50.1640625" customWidth="1" style="1" min="2" max="2"/>
    <col width="3.6640625" bestFit="1" customWidth="1" style="1" min="3" max="3"/>
    <col width="13.1640625" bestFit="1" customWidth="1" style="1" min="4" max="4"/>
    <col width="12.33203125" bestFit="1" customWidth="1" style="5" min="5" max="5"/>
    <col width="9" bestFit="1" customWidth="1" style="3" min="6" max="6"/>
    <col width="8.83203125" customWidth="1" style="1" min="7" max="16384"/>
  </cols>
  <sheetData>
    <row r="1" customFormat="1" s="2">
      <c r="A1" s="17" t="inlineStr">
        <is>
          <t>Quantity</t>
        </is>
      </c>
      <c r="B1" s="18" t="inlineStr">
        <is>
          <t>Item Description</t>
        </is>
      </c>
      <c r="C1" s="18" t="inlineStr">
        <is>
          <t>PK</t>
        </is>
      </c>
      <c r="D1" s="72" t="inlineStr">
        <is>
          <t>Frontline</t>
        </is>
      </c>
      <c r="E1" s="72" t="inlineStr">
        <is>
          <t>Ext Price</t>
        </is>
      </c>
      <c r="F1" s="20" t="inlineStr">
        <is>
          <t>Account</t>
        </is>
      </c>
    </row>
    <row r="2">
      <c r="A2" s="21" t="n">
        <v>6</v>
      </c>
      <c r="B2" s="18" t="inlineStr">
        <is>
          <t>Lafite 2009 1x750ml</t>
        </is>
      </c>
      <c r="C2" s="22" t="n">
        <v>1</v>
      </c>
      <c r="D2" s="73" t="n">
        <v>948.7499999999999</v>
      </c>
      <c r="E2" s="73" t="n">
        <v>5692.499999999999</v>
      </c>
      <c r="F2" s="20" t="inlineStr">
        <is>
          <t>SNGC</t>
        </is>
      </c>
    </row>
    <row r="3">
      <c r="A3" s="20" t="n">
        <v>6</v>
      </c>
      <c r="B3" s="18" t="inlineStr">
        <is>
          <t>Ausone 2009 1x750ml</t>
        </is>
      </c>
      <c r="C3" s="22" t="n">
        <v>1</v>
      </c>
      <c r="D3" s="73" t="n">
        <v>1063.75</v>
      </c>
      <c r="E3" s="73" t="n">
        <v>6382.5</v>
      </c>
      <c r="F3" s="20" t="inlineStr">
        <is>
          <t>SNGC</t>
        </is>
      </c>
    </row>
    <row r="4">
      <c r="A4" s="24" t="n">
        <v>4</v>
      </c>
      <c r="B4" s="18" t="inlineStr">
        <is>
          <t>Haut Brion 2009 1x 750ml</t>
        </is>
      </c>
      <c r="C4" s="22" t="n">
        <v>1</v>
      </c>
      <c r="D4" s="73" t="n">
        <v>1006.25</v>
      </c>
      <c r="E4" s="73" t="n">
        <v>4025</v>
      </c>
      <c r="F4" s="20" t="inlineStr">
        <is>
          <t>SNGC</t>
        </is>
      </c>
    </row>
    <row r="5">
      <c r="A5" s="24" t="n">
        <v>4</v>
      </c>
      <c r="B5" s="18" t="inlineStr">
        <is>
          <t>Cos d'Estournel 2009 1x375ml</t>
        </is>
      </c>
      <c r="C5" s="22" t="n">
        <v>1</v>
      </c>
      <c r="D5" s="73" t="n">
        <v>184</v>
      </c>
      <c r="E5" s="73" t="n">
        <v>736</v>
      </c>
      <c r="F5" s="20" t="inlineStr">
        <is>
          <t>SNGC</t>
        </is>
      </c>
    </row>
    <row r="6">
      <c r="A6" s="24" t="n">
        <v>4</v>
      </c>
      <c r="B6" s="18" t="inlineStr">
        <is>
          <t xml:space="preserve">Mouton 1999 1x375ml </t>
        </is>
      </c>
      <c r="C6" s="22" t="n">
        <v>1</v>
      </c>
      <c r="D6" s="73" t="n">
        <v>270.25</v>
      </c>
      <c r="E6" s="73" t="n">
        <v>1081</v>
      </c>
      <c r="F6" s="20" t="inlineStr">
        <is>
          <t>SNGC</t>
        </is>
      </c>
    </row>
    <row r="7">
      <c r="A7" s="24" t="n">
        <v>4</v>
      </c>
      <c r="B7" s="18" t="inlineStr">
        <is>
          <t>Cheval Blanc 1998 1x750ml</t>
        </is>
      </c>
      <c r="C7" s="22" t="n">
        <v>1</v>
      </c>
      <c r="D7" s="73" t="n">
        <v>1322.5</v>
      </c>
      <c r="E7" s="73" t="n">
        <v>5290</v>
      </c>
      <c r="F7" s="20" t="inlineStr">
        <is>
          <t>SNGC</t>
        </is>
      </c>
    </row>
    <row r="8">
      <c r="A8" s="24" t="n">
        <v>1</v>
      </c>
      <c r="B8" s="18" t="inlineStr">
        <is>
          <t>Haut Brion 2010 1x750ml</t>
        </is>
      </c>
      <c r="C8" s="22" t="n">
        <v>1</v>
      </c>
      <c r="D8" s="73" t="n">
        <v>994.7499999999999</v>
      </c>
      <c r="E8" s="73" t="n">
        <v>994.7499999999999</v>
      </c>
      <c r="F8" s="20" t="inlineStr">
        <is>
          <t>SNGC</t>
        </is>
      </c>
    </row>
    <row r="9">
      <c r="A9" s="24" t="n">
        <v>2</v>
      </c>
      <c r="B9" s="18" t="inlineStr">
        <is>
          <t xml:space="preserve">Lafite 1982 1x750ml </t>
        </is>
      </c>
      <c r="C9" s="22" t="n">
        <v>1</v>
      </c>
      <c r="D9" s="73" t="n">
        <v>2869.25</v>
      </c>
      <c r="E9" s="73" t="n">
        <v>5738.5</v>
      </c>
      <c r="F9" s="20" t="inlineStr">
        <is>
          <t>SNGC</t>
        </is>
      </c>
    </row>
    <row r="10">
      <c r="A10" s="24" t="n">
        <v>2</v>
      </c>
      <c r="B10" s="18" t="inlineStr">
        <is>
          <t xml:space="preserve">Petrus 1989 1x750ml </t>
        </is>
      </c>
      <c r="C10" s="22" t="n">
        <v>1</v>
      </c>
      <c r="D10" s="73" t="n">
        <v>5175</v>
      </c>
      <c r="E10" s="73" t="n">
        <v>10350</v>
      </c>
      <c r="F10" s="20" t="inlineStr">
        <is>
          <t>SNGC</t>
        </is>
      </c>
    </row>
    <row r="11">
      <c r="A11" s="24" t="n">
        <v>3</v>
      </c>
      <c r="B11" s="18" t="inlineStr">
        <is>
          <t>Armand Rousseau Charmes Chambertin 2006 1x375ml</t>
        </is>
      </c>
      <c r="C11" s="22" t="n">
        <v>1</v>
      </c>
      <c r="D11" s="73" t="n">
        <v>431.2499999999999</v>
      </c>
      <c r="E11" s="73" t="n">
        <v>1293.75</v>
      </c>
      <c r="F11" s="20" t="inlineStr">
        <is>
          <t>SNGC</t>
        </is>
      </c>
    </row>
    <row r="12">
      <c r="A12" s="24" t="n">
        <v>4</v>
      </c>
      <c r="B12" s="18" t="inlineStr">
        <is>
          <t>Armand Rousseau Chambertin 2013 1x750ml</t>
        </is>
      </c>
      <c r="C12" s="22" t="n">
        <v>1</v>
      </c>
      <c r="D12" s="73" t="n">
        <v>2754.25</v>
      </c>
      <c r="E12" s="73" t="n">
        <v>11017</v>
      </c>
      <c r="F12" s="20" t="inlineStr">
        <is>
          <t>SNGC</t>
        </is>
      </c>
    </row>
    <row r="13">
      <c r="A13" s="24" t="n">
        <v>1</v>
      </c>
      <c r="B13" s="18" t="inlineStr">
        <is>
          <t>DRC Romanee St Vivant 2014 1x750ml</t>
        </is>
      </c>
      <c r="C13" s="22" t="n">
        <v>1</v>
      </c>
      <c r="D13" s="73" t="n">
        <v>3329.25</v>
      </c>
      <c r="E13" s="73" t="n">
        <v>3329.25</v>
      </c>
      <c r="F13" s="20" t="inlineStr">
        <is>
          <t>SNGC</t>
        </is>
      </c>
    </row>
    <row r="14">
      <c r="A14" s="24" t="n">
        <v>2</v>
      </c>
      <c r="B14" s="18" t="inlineStr">
        <is>
          <t>DRC La Tache 2018 1x750ml</t>
        </is>
      </c>
      <c r="C14" s="22" t="n">
        <v>1</v>
      </c>
      <c r="D14" s="73" t="n">
        <v>5744.249999999999</v>
      </c>
      <c r="E14" s="73" t="n">
        <v>11488.5</v>
      </c>
      <c r="F14" s="20" t="inlineStr">
        <is>
          <t>SNGC</t>
        </is>
      </c>
    </row>
    <row r="15">
      <c r="A15" s="24" t="n">
        <v>2</v>
      </c>
      <c r="B15" s="18" t="inlineStr">
        <is>
          <t>Armand Rousseau Clos de Beze 1x750ml</t>
        </is>
      </c>
      <c r="C15" s="22" t="n">
        <v>1</v>
      </c>
      <c r="D15" s="73" t="n">
        <v>2179.25</v>
      </c>
      <c r="E15" s="73" t="n">
        <v>4358.499999999999</v>
      </c>
      <c r="F15" s="20" t="inlineStr">
        <is>
          <t>SNGC</t>
        </is>
      </c>
    </row>
    <row r="16">
      <c r="A16" s="24" t="n">
        <v>2</v>
      </c>
      <c r="B16" s="18" t="inlineStr">
        <is>
          <t>Dujac Bonnes Mares 2013 1x750ml</t>
        </is>
      </c>
      <c r="C16" s="22" t="n">
        <v>1</v>
      </c>
      <c r="D16" s="73" t="n">
        <v>977.4999999999999</v>
      </c>
      <c r="E16" s="73" t="n">
        <v>1955</v>
      </c>
      <c r="F16" s="20" t="inlineStr">
        <is>
          <t>SNGC</t>
        </is>
      </c>
    </row>
    <row r="17">
      <c r="A17" s="24" t="n">
        <v>2</v>
      </c>
      <c r="B17" s="18" t="inlineStr">
        <is>
          <t xml:space="preserve">Dujac Clos de la Roche 2012 1x750ml </t>
        </is>
      </c>
      <c r="C17" s="22" t="n">
        <v>1</v>
      </c>
      <c r="D17" s="73" t="n">
        <v>948.7499999999999</v>
      </c>
      <c r="E17" s="73" t="n">
        <v>1897.5</v>
      </c>
      <c r="F17" s="20" t="inlineStr">
        <is>
          <t>SNGC</t>
        </is>
      </c>
    </row>
    <row r="18">
      <c r="A18" s="24" t="n">
        <v>1</v>
      </c>
      <c r="B18" s="18" t="inlineStr">
        <is>
          <t xml:space="preserve">Dujac Echezeaux 2009 1x750ml </t>
        </is>
      </c>
      <c r="C18" s="22" t="n">
        <v>1</v>
      </c>
      <c r="D18" s="73" t="n">
        <v>1029.25</v>
      </c>
      <c r="E18" s="73" t="n">
        <v>1029.25</v>
      </c>
      <c r="F18" s="20" t="inlineStr">
        <is>
          <t>SNGC</t>
        </is>
      </c>
    </row>
    <row r="19">
      <c r="A19" s="24" t="n">
        <v>1</v>
      </c>
      <c r="B19" s="18" t="inlineStr">
        <is>
          <t>Leroy NSG Aux Allots 2005 1x750ml</t>
        </is>
      </c>
      <c r="C19" s="22" t="n">
        <v>1</v>
      </c>
      <c r="D19" s="73" t="n">
        <v>3622.5</v>
      </c>
      <c r="E19" s="73" t="n">
        <v>3622.5</v>
      </c>
      <c r="F19" s="20" t="inlineStr">
        <is>
          <t>SNGC</t>
        </is>
      </c>
    </row>
    <row r="20">
      <c r="A20" s="24" t="n">
        <v>1</v>
      </c>
      <c r="B20" s="18" t="inlineStr">
        <is>
          <t>Ponsot Clos de la Roche 2005 1x750ml</t>
        </is>
      </c>
      <c r="C20" s="22" t="n">
        <v>1</v>
      </c>
      <c r="D20" s="73" t="n">
        <v>1092.5</v>
      </c>
      <c r="E20" s="73" t="n">
        <v>1092.5</v>
      </c>
      <c r="F20" s="20" t="inlineStr">
        <is>
          <t>SNGC</t>
        </is>
      </c>
    </row>
    <row r="21">
      <c r="A21" s="24" t="n">
        <v>2</v>
      </c>
      <c r="B21" s="18" t="inlineStr">
        <is>
          <t>Coche Dury Puligny Montrachet Enseigneres 2015 1x750ml</t>
        </is>
      </c>
      <c r="C21" s="22" t="n">
        <v>1</v>
      </c>
      <c r="D21" s="73" t="n">
        <v>1719.25</v>
      </c>
      <c r="E21" s="73" t="n">
        <v>3438.5</v>
      </c>
      <c r="F21" s="20" t="inlineStr">
        <is>
          <t>SNGC</t>
        </is>
      </c>
    </row>
    <row r="22">
      <c r="A22" s="24" t="n">
        <v>1</v>
      </c>
      <c r="B22" s="18" t="inlineStr">
        <is>
          <t>Dom Perignon P2 1999 1x750ml</t>
        </is>
      </c>
      <c r="C22" s="22" t="n">
        <v>1</v>
      </c>
      <c r="D22" s="73" t="n">
        <v>684.2499999999999</v>
      </c>
      <c r="E22" s="73" t="n">
        <v>684.2499999999999</v>
      </c>
      <c r="F22" s="20" t="inlineStr">
        <is>
          <t>SNGC</t>
        </is>
      </c>
    </row>
    <row r="23">
      <c r="A23" s="24" t="n">
        <v>2</v>
      </c>
      <c r="B23" s="18" t="inlineStr">
        <is>
          <t>Dom Perignon P2 2002 1x750ml</t>
        </is>
      </c>
      <c r="C23" s="22" t="n">
        <v>1</v>
      </c>
      <c r="D23" s="73" t="n">
        <v>632.4999999999999</v>
      </c>
      <c r="E23" s="73" t="n">
        <v>1265</v>
      </c>
      <c r="F23" s="20" t="inlineStr">
        <is>
          <t>SNGC</t>
        </is>
      </c>
    </row>
    <row r="24">
      <c r="A24" s="24" t="n">
        <v>3</v>
      </c>
      <c r="B24" s="18" t="inlineStr">
        <is>
          <t>Giacomo Conterno Barolo Riserva 2008 1x750ml</t>
        </is>
      </c>
      <c r="C24" s="22" t="n">
        <v>1</v>
      </c>
      <c r="D24" s="73" t="n">
        <v>1293.75</v>
      </c>
      <c r="E24" s="73" t="n">
        <v>3881.249999999999</v>
      </c>
      <c r="F24" s="20" t="inlineStr">
        <is>
          <t>SNGC</t>
        </is>
      </c>
    </row>
    <row r="25">
      <c r="A25" s="24" t="n">
        <v>4</v>
      </c>
      <c r="B25" s="18" t="inlineStr">
        <is>
          <t xml:space="preserve">Giuseppe Rinaldi Barolo Brunate 2015 1x750ml </t>
        </is>
      </c>
      <c r="C25" s="22" t="n">
        <v>1</v>
      </c>
      <c r="D25" s="73" t="n">
        <v>362.2499999999999</v>
      </c>
      <c r="E25" s="73" t="n">
        <v>1449</v>
      </c>
      <c r="F25" s="20" t="inlineStr">
        <is>
          <t>SNGC</t>
        </is>
      </c>
    </row>
    <row r="26">
      <c r="A26" s="24" t="n">
        <v>2</v>
      </c>
      <c r="B26" s="18" t="inlineStr">
        <is>
          <t xml:space="preserve">JL Chave Hermitage 2004 1x750ml </t>
        </is>
      </c>
      <c r="C26" s="22" t="n">
        <v>1</v>
      </c>
      <c r="D26" s="73" t="n">
        <v>442.7499999999999</v>
      </c>
      <c r="E26" s="73" t="n">
        <v>885.4999999999999</v>
      </c>
      <c r="F26" s="20" t="inlineStr">
        <is>
          <t>SNGC</t>
        </is>
      </c>
    </row>
    <row r="27" customFormat="1" s="11">
      <c r="A27" s="25">
        <f>SUM(A2:A26)</f>
        <v/>
      </c>
      <c r="B27" s="26" t="n"/>
      <c r="C27" s="26" t="n"/>
      <c r="D27" s="74" t="inlineStr"/>
      <c r="E27" s="75" t="n">
        <v>92977.5</v>
      </c>
      <c r="F27" s="29" t="n"/>
    </row>
    <row r="28">
      <c r="E28" s="76" t="inlineStr"/>
      <c r="F28" s="68">
        <f>IFERROR(((#REF!*C28)*0.02),"")</f>
        <v/>
      </c>
    </row>
    <row r="29">
      <c r="E29" s="76" t="inlineStr"/>
      <c r="F29" s="68">
        <f>IFERROR(((#REF!*C29)*0.02),"")</f>
        <v/>
      </c>
    </row>
    <row r="30">
      <c r="E30" s="76" t="inlineStr"/>
      <c r="F30" s="68">
        <f>IFERROR(((#REF!*C30)*0.02),"")</f>
        <v/>
      </c>
    </row>
    <row r="31">
      <c r="E31" s="76" t="inlineStr"/>
      <c r="F31" s="68">
        <f>IFERROR(((#REF!*C31)*0.02),"")</f>
        <v/>
      </c>
    </row>
    <row r="32">
      <c r="E32" s="76" t="inlineStr"/>
      <c r="F32" s="68">
        <f>IFERROR(((#REF!*C32)*0.02),"")</f>
        <v/>
      </c>
    </row>
    <row r="33">
      <c r="E33" s="76" t="inlineStr"/>
      <c r="F33" s="68">
        <f>IFERROR(((#REF!*C33)*0.02),"")</f>
        <v/>
      </c>
    </row>
    <row r="34">
      <c r="E34" s="76" t="inlineStr"/>
      <c r="F34" s="68">
        <f>IFERROR(((#REF!*C34)*0.02),"")</f>
        <v/>
      </c>
    </row>
    <row r="35">
      <c r="E35" s="76" t="inlineStr"/>
      <c r="F35" s="68">
        <f>IFERROR(((#REF!*C35)*0.02),"")</f>
        <v/>
      </c>
    </row>
    <row r="36">
      <c r="E36" s="76" t="inlineStr"/>
      <c r="F36" s="68">
        <f>IFERROR(((#REF!*C36)*0.02),"")</f>
        <v/>
      </c>
    </row>
    <row r="37">
      <c r="E37" s="76" t="inlineStr"/>
      <c r="F37" s="68">
        <f>IFERROR(((#REF!*C37)*0.02),"")</f>
        <v/>
      </c>
    </row>
    <row r="38">
      <c r="E38" s="76" t="inlineStr"/>
      <c r="F38" s="68">
        <f>IFERROR(((#REF!*C38)*0.02),"")</f>
        <v/>
      </c>
    </row>
    <row r="39">
      <c r="E39" s="76" t="inlineStr"/>
      <c r="F39" s="68">
        <f>IFERROR(((#REF!*C39)*0.02),"")</f>
        <v/>
      </c>
    </row>
    <row r="40">
      <c r="E40" s="76" t="inlineStr"/>
      <c r="F40" s="68">
        <f>IFERROR(((#REF!*C40)*0.02),"")</f>
        <v/>
      </c>
    </row>
    <row r="41">
      <c r="E41" s="76" t="inlineStr"/>
      <c r="F41" s="68">
        <f>IFERROR(((#REF!*C41)*0.02),"")</f>
        <v/>
      </c>
    </row>
    <row r="42">
      <c r="E42" s="76" t="inlineStr"/>
      <c r="F42" s="68">
        <f>IFERROR(((#REF!*C42)*0.02),"")</f>
        <v/>
      </c>
    </row>
    <row r="43">
      <c r="E43" s="76" t="inlineStr"/>
      <c r="F43" s="68">
        <f>IFERROR(((#REF!*C43)*0.02),"")</f>
        <v/>
      </c>
    </row>
    <row r="44">
      <c r="E44" s="76" t="inlineStr"/>
      <c r="F44" s="68">
        <f>IFERROR(((#REF!*C44)*0.02),"")</f>
        <v/>
      </c>
    </row>
    <row r="45">
      <c r="E45" s="76" t="inlineStr"/>
      <c r="F45" s="68">
        <f>IFERROR(((#REF!*C45)*0.02),"")</f>
        <v/>
      </c>
    </row>
    <row r="46">
      <c r="E46" s="76" t="inlineStr"/>
      <c r="F46" s="68">
        <f>IFERROR(((#REF!*C46)*0.02),"")</f>
        <v/>
      </c>
    </row>
    <row r="47">
      <c r="E47" s="76" t="inlineStr"/>
      <c r="F47" s="68">
        <f>IFERROR(((#REF!*C47)*0.02),"")</f>
        <v/>
      </c>
    </row>
    <row r="48">
      <c r="E48" s="76" t="inlineStr"/>
      <c r="F48" s="68">
        <f>IFERROR(((#REF!*C48)*0.02),"")</f>
        <v/>
      </c>
    </row>
    <row r="49">
      <c r="E49" s="76" t="inlineStr"/>
      <c r="F49" s="68">
        <f>IFERROR(((#REF!*C49)*0.02),"")</f>
        <v/>
      </c>
    </row>
    <row r="50">
      <c r="E50" s="76" t="inlineStr"/>
      <c r="F50" s="68">
        <f>IFERROR(((#REF!*C50)*0.02),"")</f>
        <v/>
      </c>
    </row>
    <row r="51">
      <c r="E51" s="76" t="inlineStr"/>
      <c r="F51" s="68">
        <f>IFERROR(((#REF!*C51)*0.02),"")</f>
        <v/>
      </c>
    </row>
    <row r="52">
      <c r="E52" s="76" t="inlineStr"/>
      <c r="F52" s="68">
        <f>IFERROR(((#REF!*C52)*0.02),"")</f>
        <v/>
      </c>
    </row>
    <row r="53">
      <c r="E53" s="76" t="inlineStr"/>
      <c r="F53" s="68">
        <f>IFERROR(((#REF!*C53)*0.02),"")</f>
        <v/>
      </c>
    </row>
    <row r="54">
      <c r="E54" s="76" t="inlineStr"/>
      <c r="F54" s="68">
        <f>IFERROR(((#REF!*C54)*0.02),"")</f>
        <v/>
      </c>
    </row>
    <row r="55">
      <c r="E55" s="76" t="inlineStr"/>
      <c r="F55" s="68">
        <f>IFERROR(((#REF!*C55)*0.02),"")</f>
        <v/>
      </c>
    </row>
    <row r="56">
      <c r="E56" s="76" t="inlineStr"/>
      <c r="F56" s="68">
        <f>IFERROR(((#REF!*C56)*0.02),"")</f>
        <v/>
      </c>
    </row>
    <row r="57">
      <c r="E57" s="76" t="inlineStr"/>
      <c r="F57" s="68">
        <f>IFERROR(((#REF!*C57)*0.02),"")</f>
        <v/>
      </c>
    </row>
    <row r="58">
      <c r="E58" s="76" t="inlineStr"/>
      <c r="F58" s="68">
        <f>IFERROR(((#REF!*C58)*0.02),"")</f>
        <v/>
      </c>
    </row>
    <row r="59">
      <c r="E59" s="76" t="inlineStr"/>
      <c r="F59" s="68">
        <f>IFERROR(((#REF!*C59)*0.02),"")</f>
        <v/>
      </c>
    </row>
    <row r="60">
      <c r="E60" s="76" t="inlineStr"/>
      <c r="F60" s="68">
        <f>IFERROR(((#REF!*C60)*0.02),"")</f>
        <v/>
      </c>
    </row>
    <row r="61">
      <c r="E61" s="76" t="inlineStr"/>
      <c r="F61" s="68">
        <f>IFERROR(((#REF!*C61)*0.02),"")</f>
        <v/>
      </c>
    </row>
    <row r="62">
      <c r="E62" s="76" t="inlineStr"/>
      <c r="F62" s="68">
        <f>IFERROR(((#REF!*C62)*0.02),"")</f>
        <v/>
      </c>
    </row>
    <row r="63">
      <c r="E63" s="76" t="inlineStr"/>
      <c r="F63" s="68">
        <f>IFERROR(((#REF!*C63)*0.02),"")</f>
        <v/>
      </c>
    </row>
    <row r="64">
      <c r="E64" s="76" t="inlineStr"/>
      <c r="F64" s="68">
        <f>IFERROR(((#REF!*C64)*0.02),"")</f>
        <v/>
      </c>
    </row>
    <row r="65">
      <c r="E65" s="76" t="inlineStr"/>
      <c r="F65" s="68">
        <f>IFERROR(((#REF!*C65)*0.02),"")</f>
        <v/>
      </c>
    </row>
    <row r="66">
      <c r="E66" s="76" t="inlineStr"/>
      <c r="F66" s="68">
        <f>IFERROR(((#REF!*C66)*0.02),"")</f>
        <v/>
      </c>
    </row>
    <row r="67">
      <c r="E67" s="76" t="inlineStr"/>
      <c r="F67" s="68">
        <f>IFERROR(((#REF!*C67)*0.02),"")</f>
        <v/>
      </c>
    </row>
    <row r="68">
      <c r="E68" s="76" t="inlineStr"/>
      <c r="F68" s="68">
        <f>IFERROR(((#REF!*C68)*0.02),"")</f>
        <v/>
      </c>
    </row>
    <row r="69">
      <c r="E69" s="76" t="inlineStr"/>
      <c r="F69" s="68">
        <f>IFERROR(((#REF!*C69)*0.02),"")</f>
        <v/>
      </c>
    </row>
    <row r="70">
      <c r="E70" s="76" t="inlineStr"/>
      <c r="F70" s="68">
        <f>IFERROR(((#REF!*C70)*0.02),"")</f>
        <v/>
      </c>
    </row>
    <row r="71">
      <c r="E71" s="76" t="inlineStr"/>
      <c r="F71" s="68">
        <f>IFERROR(((#REF!*C71)*0.02),"")</f>
        <v/>
      </c>
    </row>
    <row r="72">
      <c r="E72" s="76" t="inlineStr"/>
      <c r="F72" s="68">
        <f>IFERROR(((#REF!*C72)*0.02),"")</f>
        <v/>
      </c>
    </row>
    <row r="73">
      <c r="E73" s="76" t="inlineStr"/>
      <c r="F73" s="68">
        <f>IFERROR(((#REF!*C73)*0.02),"")</f>
        <v/>
      </c>
    </row>
    <row r="74">
      <c r="E74" s="76" t="inlineStr"/>
      <c r="F74" s="68">
        <f>IFERROR(((#REF!*C74)*0.02),"")</f>
        <v/>
      </c>
    </row>
    <row r="75">
      <c r="E75" s="76" t="inlineStr"/>
      <c r="F75" s="68">
        <f>IFERROR(((#REF!*C75)*0.02),"")</f>
        <v/>
      </c>
    </row>
    <row r="76">
      <c r="E76" s="76" t="inlineStr"/>
      <c r="F76" s="68">
        <f>IFERROR(((#REF!*C76)*0.02),"")</f>
        <v/>
      </c>
    </row>
    <row r="77">
      <c r="E77" s="76" t="inlineStr"/>
      <c r="F77" s="68">
        <f>IFERROR(((#REF!*C77)*0.02),"")</f>
        <v/>
      </c>
    </row>
    <row r="78">
      <c r="E78" s="76" t="inlineStr"/>
      <c r="F78" s="68">
        <f>IFERROR(((#REF!*C78)*0.02),"")</f>
        <v/>
      </c>
    </row>
    <row r="79">
      <c r="E79" s="76" t="inlineStr"/>
      <c r="F79" s="68">
        <f>IFERROR(((#REF!*C79)*0.02),"")</f>
        <v/>
      </c>
    </row>
    <row r="80">
      <c r="E80" s="76" t="inlineStr"/>
      <c r="F80" s="68">
        <f>IFERROR(((#REF!*C80)*0.02),"")</f>
        <v/>
      </c>
    </row>
    <row r="81">
      <c r="E81" s="76" t="inlineStr"/>
      <c r="F81" s="68">
        <f>IFERROR(((#REF!*C81)*0.02),"")</f>
        <v/>
      </c>
    </row>
    <row r="82">
      <c r="E82" s="76" t="inlineStr"/>
      <c r="F82" s="68">
        <f>IFERROR(((#REF!*C82)*0.02),"")</f>
        <v/>
      </c>
    </row>
    <row r="83">
      <c r="E83" s="76" t="inlineStr"/>
      <c r="F83" s="68">
        <f>IFERROR(((#REF!*C83)*0.02),"")</f>
        <v/>
      </c>
    </row>
    <row r="84">
      <c r="E84" s="76" t="inlineStr"/>
      <c r="F84" s="68">
        <f>IFERROR(((#REF!*C84)*0.02),"")</f>
        <v/>
      </c>
    </row>
    <row r="85">
      <c r="E85" s="76" t="inlineStr"/>
      <c r="F85" s="68">
        <f>IFERROR(((#REF!*C85)*0.02),"")</f>
        <v/>
      </c>
    </row>
    <row r="86">
      <c r="E86" s="76" t="inlineStr"/>
      <c r="F86" s="68">
        <f>IFERROR(((#REF!*C86)*0.02),"")</f>
        <v/>
      </c>
    </row>
    <row r="87">
      <c r="E87" s="76" t="inlineStr"/>
      <c r="F87" s="68">
        <f>IFERROR(((#REF!*C87)*0.02),"")</f>
        <v/>
      </c>
    </row>
    <row r="88">
      <c r="E88" s="76" t="inlineStr"/>
      <c r="F88" s="68">
        <f>IFERROR(((#REF!*C88)*0.02),"")</f>
        <v/>
      </c>
    </row>
    <row r="89">
      <c r="E89" s="76" t="inlineStr"/>
      <c r="F89" s="68">
        <f>IFERROR(((#REF!*C89)*0.02),"")</f>
        <v/>
      </c>
    </row>
    <row r="90">
      <c r="E90" s="76" t="inlineStr"/>
      <c r="F90" s="68">
        <f>IFERROR(((#REF!*C90)*0.02),"")</f>
        <v/>
      </c>
    </row>
    <row r="91">
      <c r="E91" s="76" t="inlineStr"/>
      <c r="F91" s="68">
        <f>IFERROR(((#REF!*C91)*0.02),"")</f>
        <v/>
      </c>
    </row>
    <row r="92">
      <c r="E92" s="76" t="inlineStr"/>
      <c r="F92" s="68">
        <f>IFERROR(((#REF!*C92)*0.02),"")</f>
        <v/>
      </c>
    </row>
    <row r="93">
      <c r="E93" s="76" t="inlineStr"/>
      <c r="F93" s="68">
        <f>IFERROR(((#REF!*C93)*0.02),"")</f>
        <v/>
      </c>
    </row>
    <row r="94">
      <c r="E94" s="76" t="inlineStr"/>
      <c r="F94" s="68">
        <f>IFERROR(((#REF!*C94)*0.02),"")</f>
        <v/>
      </c>
    </row>
    <row r="95">
      <c r="E95" s="76" t="inlineStr"/>
      <c r="F95" s="68">
        <f>IFERROR(((#REF!*C95)*0.02),"")</f>
        <v/>
      </c>
    </row>
    <row r="96">
      <c r="E96" s="76" t="inlineStr"/>
      <c r="F96" s="68">
        <f>IFERROR(((#REF!*C96)*0.02),"")</f>
        <v/>
      </c>
    </row>
    <row r="97">
      <c r="E97" s="76" t="inlineStr"/>
      <c r="F97" s="68">
        <f>IFERROR(((#REF!*C97)*0.02),"")</f>
        <v/>
      </c>
    </row>
    <row r="98">
      <c r="E98" s="76" t="inlineStr"/>
      <c r="F98" s="68">
        <f>IFERROR(((#REF!*C98)*0.02),"")</f>
        <v/>
      </c>
    </row>
    <row r="99">
      <c r="E99" s="76" t="inlineStr"/>
      <c r="F99" s="68">
        <f>IFERROR(((#REF!*C99)*0.02),"")</f>
        <v/>
      </c>
    </row>
    <row r="100">
      <c r="E100" s="76" t="inlineStr"/>
      <c r="F100" s="68">
        <f>IFERROR(((#REF!*C100)*0.02),"")</f>
        <v/>
      </c>
    </row>
    <row r="101">
      <c r="E101" s="76" t="inlineStr"/>
      <c r="F101" s="68">
        <f>IFERROR(((#REF!*C101)*0.02),"")</f>
        <v/>
      </c>
    </row>
    <row r="102">
      <c r="E102" s="76" t="inlineStr"/>
      <c r="F102" s="68">
        <f>IFERROR(((#REF!*C102)*0.02),"")</f>
        <v/>
      </c>
    </row>
    <row r="103">
      <c r="E103" s="76" t="inlineStr"/>
      <c r="F103" s="68">
        <f>IFERROR(((#REF!*C103)*0.02),"")</f>
        <v/>
      </c>
    </row>
    <row r="104">
      <c r="E104" s="76" t="inlineStr"/>
      <c r="F104" s="68">
        <f>IFERROR(((#REF!*C104)*0.02),"")</f>
        <v/>
      </c>
    </row>
    <row r="105">
      <c r="E105" s="76" t="inlineStr"/>
      <c r="F105" s="68">
        <f>IFERROR(((#REF!*C105)*0.02),"")</f>
        <v/>
      </c>
    </row>
    <row r="106">
      <c r="E106" s="76" t="inlineStr"/>
      <c r="F106" s="68">
        <f>IFERROR(((#REF!*C106)*0.02),"")</f>
        <v/>
      </c>
    </row>
    <row r="107">
      <c r="E107" s="76" t="inlineStr"/>
      <c r="F107" s="68">
        <f>IFERROR(((#REF!*C107)*0.02),"")</f>
        <v/>
      </c>
    </row>
    <row r="108">
      <c r="E108" s="76" t="inlineStr"/>
      <c r="F108" s="68">
        <f>IFERROR(((#REF!*C108)*0.02),"")</f>
        <v/>
      </c>
    </row>
    <row r="109">
      <c r="E109" s="76" t="inlineStr"/>
      <c r="F109" s="68">
        <f>IFERROR(((#REF!*C109)*0.02),"")</f>
        <v/>
      </c>
    </row>
    <row r="110">
      <c r="E110" s="76" t="inlineStr"/>
      <c r="F110" s="68">
        <f>IFERROR(((#REF!*C110)*0.02),"")</f>
        <v/>
      </c>
    </row>
    <row r="111">
      <c r="E111" s="76" t="inlineStr"/>
      <c r="F111" s="68">
        <f>IFERROR(((#REF!*C111)*0.02),"")</f>
        <v/>
      </c>
    </row>
    <row r="112">
      <c r="E112" s="76" t="inlineStr"/>
      <c r="F112" s="68">
        <f>IFERROR(((#REF!*C112)*0.02),"")</f>
        <v/>
      </c>
    </row>
    <row r="113">
      <c r="E113" s="76" t="inlineStr"/>
      <c r="F113" s="68">
        <f>IFERROR(((#REF!*C113)*0.02),"")</f>
        <v/>
      </c>
    </row>
    <row r="114">
      <c r="E114" s="76" t="inlineStr"/>
      <c r="F114" s="68">
        <f>IFERROR(((#REF!*C114)*0.02),"")</f>
        <v/>
      </c>
    </row>
    <row r="115">
      <c r="E115" s="76" t="inlineStr"/>
      <c r="F115" s="68">
        <f>IFERROR(((#REF!*C115)*0.02),"")</f>
        <v/>
      </c>
    </row>
    <row r="116">
      <c r="E116" s="76" t="inlineStr"/>
      <c r="F116" s="68">
        <f>IFERROR(((#REF!*C116)*0.02),"")</f>
        <v/>
      </c>
    </row>
    <row r="117">
      <c r="E117" s="76" t="inlineStr"/>
      <c r="F117" s="68">
        <f>IFERROR(((#REF!*C117)*0.02),"")</f>
        <v/>
      </c>
    </row>
    <row r="118">
      <c r="E118" s="76" t="inlineStr"/>
      <c r="F118" s="68">
        <f>IFERROR(((#REF!*C118)*0.02),"")</f>
        <v/>
      </c>
    </row>
    <row r="119">
      <c r="E119" s="76" t="inlineStr"/>
      <c r="F119" s="68">
        <f>IFERROR(((#REF!*C119)*0.02),"")</f>
        <v/>
      </c>
    </row>
    <row r="120">
      <c r="E120" s="76" t="inlineStr"/>
      <c r="F120" s="68">
        <f>IFERROR(((#REF!*C120)*0.02),"")</f>
        <v/>
      </c>
    </row>
    <row r="121">
      <c r="E121" s="76" t="inlineStr"/>
      <c r="F121" s="68">
        <f>IFERROR(((#REF!*C121)*0.02),"")</f>
        <v/>
      </c>
    </row>
    <row r="122">
      <c r="E122" s="76" t="inlineStr"/>
      <c r="F122" s="68">
        <f>IFERROR(((#REF!*C122)*0.02),"")</f>
        <v/>
      </c>
    </row>
    <row r="123">
      <c r="E123" s="76" t="inlineStr"/>
      <c r="F123" s="68">
        <f>IFERROR(((#REF!*C123)*0.02),"")</f>
        <v/>
      </c>
    </row>
    <row r="124">
      <c r="E124" s="76" t="inlineStr"/>
      <c r="F124" s="68">
        <f>IFERROR(((#REF!*C124)*0.02),"")</f>
        <v/>
      </c>
    </row>
    <row r="125">
      <c r="E125" s="76" t="inlineStr"/>
      <c r="F125" s="68">
        <f>IFERROR(((#REF!*C125)*0.02),"")</f>
        <v/>
      </c>
    </row>
    <row r="126">
      <c r="E126" s="76" t="inlineStr"/>
      <c r="F126" s="68">
        <f>IFERROR(((#REF!*C126)*0.02),"")</f>
        <v/>
      </c>
    </row>
    <row r="127">
      <c r="E127" s="76" t="inlineStr"/>
      <c r="F127" s="68">
        <f>IFERROR(((#REF!*C127)*0.02),"")</f>
        <v/>
      </c>
    </row>
    <row r="128">
      <c r="E128" s="76" t="inlineStr"/>
      <c r="F128" s="68">
        <f>IFERROR(((#REF!*C128)*0.02),"")</f>
        <v/>
      </c>
    </row>
    <row r="129">
      <c r="E129" s="76" t="inlineStr"/>
      <c r="F129" s="68">
        <f>IFERROR(((#REF!*C129)*0.02),"")</f>
        <v/>
      </c>
    </row>
    <row r="130">
      <c r="E130" s="76" t="inlineStr"/>
      <c r="F130" s="68">
        <f>IFERROR(((#REF!*C130)*0.02),"")</f>
        <v/>
      </c>
    </row>
    <row r="131">
      <c r="E131" s="76" t="inlineStr"/>
      <c r="F131" s="68">
        <f>IFERROR(((#REF!*C131)*0.02),"")</f>
        <v/>
      </c>
    </row>
    <row r="132">
      <c r="E132" s="76" t="inlineStr"/>
      <c r="F132" s="68">
        <f>IFERROR(((#REF!*C132)*0.02),"")</f>
        <v/>
      </c>
    </row>
    <row r="133">
      <c r="E133" s="76" t="inlineStr"/>
      <c r="F133" s="68">
        <f>IFERROR(((#REF!*C133)*0.02),"")</f>
        <v/>
      </c>
    </row>
    <row r="134">
      <c r="E134" s="76" t="inlineStr"/>
      <c r="F134" s="68">
        <f>IFERROR(((#REF!*C134)*0.02),"")</f>
        <v/>
      </c>
    </row>
    <row r="135">
      <c r="E135" s="76" t="inlineStr"/>
      <c r="F135" s="68">
        <f>IFERROR(((#REF!*C135)*0.02),"")</f>
        <v/>
      </c>
    </row>
    <row r="136">
      <c r="E136" s="76" t="inlineStr"/>
      <c r="F136" s="68">
        <f>IFERROR(((#REF!*C136)*0.02),"")</f>
        <v/>
      </c>
    </row>
    <row r="137">
      <c r="E137" s="76" t="inlineStr"/>
      <c r="F137" s="68">
        <f>IFERROR(((#REF!*C137)*0.02),"")</f>
        <v/>
      </c>
    </row>
    <row r="138">
      <c r="E138" s="76" t="inlineStr"/>
      <c r="F138" s="68">
        <f>IFERROR(((#REF!*C138)*0.02),"")</f>
        <v/>
      </c>
    </row>
    <row r="139">
      <c r="E139" s="76" t="inlineStr"/>
      <c r="F139" s="68">
        <f>IFERROR(((#REF!*C139)*0.02),"")</f>
        <v/>
      </c>
    </row>
    <row r="140">
      <c r="E140" s="76" t="inlineStr"/>
      <c r="F140" s="68">
        <f>IFERROR(((#REF!*C140)*0.02),"")</f>
        <v/>
      </c>
    </row>
    <row r="141">
      <c r="E141" s="76" t="inlineStr"/>
      <c r="F141" s="68">
        <f>IFERROR(((#REF!*C141)*0.02),"")</f>
        <v/>
      </c>
    </row>
    <row r="142">
      <c r="E142" s="76" t="inlineStr"/>
      <c r="F142" s="68">
        <f>IFERROR(((#REF!*C142)*0.02),"")</f>
        <v/>
      </c>
    </row>
    <row r="143">
      <c r="E143" s="76" t="inlineStr"/>
      <c r="F143" s="68">
        <f>IFERROR(((#REF!*C143)*0.02),"")</f>
        <v/>
      </c>
    </row>
    <row r="144">
      <c r="E144" s="76" t="inlineStr"/>
      <c r="F144" s="68">
        <f>IFERROR(((#REF!*C144)*0.02),"")</f>
        <v/>
      </c>
    </row>
    <row r="145">
      <c r="E145" s="76" t="inlineStr"/>
      <c r="F145" s="68">
        <f>IFERROR(((#REF!*C145)*0.02),"")</f>
        <v/>
      </c>
    </row>
    <row r="146">
      <c r="E146" s="76" t="inlineStr"/>
      <c r="F146" s="68">
        <f>IFERROR(((#REF!*C146)*0.02),"")</f>
        <v/>
      </c>
    </row>
    <row r="147">
      <c r="E147" s="76" t="inlineStr"/>
      <c r="F147" s="68">
        <f>IFERROR(((#REF!*C147)*0.02),"")</f>
        <v/>
      </c>
    </row>
    <row r="148">
      <c r="E148" s="76" t="inlineStr"/>
      <c r="F148" s="68">
        <f>IFERROR(((#REF!*C148)*0.02),"")</f>
        <v/>
      </c>
    </row>
    <row r="149">
      <c r="E149" s="76" t="inlineStr"/>
      <c r="F149" s="68">
        <f>IFERROR(((#REF!*C149)*0.02),"")</f>
        <v/>
      </c>
    </row>
    <row r="150">
      <c r="E150" s="76" t="inlineStr"/>
      <c r="F150" s="68">
        <f>IFERROR(((#REF!*C150)*0.02),"")</f>
        <v/>
      </c>
    </row>
    <row r="151">
      <c r="E151" s="76" t="inlineStr"/>
      <c r="F151" s="68">
        <f>IFERROR(((#REF!*C151)*0.02),"")</f>
        <v/>
      </c>
    </row>
    <row r="152">
      <c r="E152" s="76" t="inlineStr"/>
      <c r="F152" s="68">
        <f>IFERROR(((#REF!*C152)*0.02),"")</f>
        <v/>
      </c>
    </row>
    <row r="153">
      <c r="E153" s="76" t="inlineStr"/>
      <c r="F153" s="68">
        <f>IFERROR(((#REF!*C153)*0.02),"")</f>
        <v/>
      </c>
    </row>
    <row r="154">
      <c r="E154" s="76" t="inlineStr"/>
      <c r="F154" s="68">
        <f>IFERROR(((#REF!*C154)*0.02),"")</f>
        <v/>
      </c>
    </row>
    <row r="155">
      <c r="E155" s="76" t="inlineStr"/>
      <c r="F155" s="68">
        <f>IFERROR(((#REF!*C155)*0.02),"")</f>
        <v/>
      </c>
    </row>
    <row r="156">
      <c r="E156" s="76" t="inlineStr"/>
      <c r="F156" s="68">
        <f>IFERROR(((#REF!*C156)*0.02),"")</f>
        <v/>
      </c>
    </row>
    <row r="157">
      <c r="E157" s="76" t="inlineStr"/>
      <c r="F157" s="68">
        <f>IFERROR(((#REF!*C157)*0.02),"")</f>
        <v/>
      </c>
    </row>
    <row r="158">
      <c r="E158" s="76" t="inlineStr"/>
      <c r="F158" s="68">
        <f>IFERROR(((#REF!*C158)*0.02),"")</f>
        <v/>
      </c>
    </row>
    <row r="159">
      <c r="E159" s="76" t="inlineStr"/>
      <c r="F159" s="68">
        <f>IFERROR(((#REF!*C159)*0.02),"")</f>
        <v/>
      </c>
    </row>
    <row r="160">
      <c r="E160" s="76" t="inlineStr"/>
    </row>
    <row r="161">
      <c r="E161" s="76" t="inlineStr"/>
    </row>
    <row r="162">
      <c r="E162" s="76" t="inlineStr"/>
    </row>
    <row r="163">
      <c r="E163" s="76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Michelle Belt</dc:creator>
  <dcterms:created xsi:type="dcterms:W3CDTF">2024-12-23T17:08:52Z</dcterms:created>
  <dcterms:modified xsi:type="dcterms:W3CDTF">2026-04-27T18:32:21Z</dcterms:modified>
  <cp:lastModifiedBy>Mark Yaeger</cp:lastModifiedBy>
</cp:coreProperties>
</file>